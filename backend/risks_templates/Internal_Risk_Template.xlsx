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  <sheet name="Scoring Guide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<sst xmlns="http://schemas.openxmlformats.org/spreadsheetml/2006/main" count="888" uniqueCount="458">
  <si>
    <t xml:space="preserve">INTERNAL RISK REGISTER</t>
  </si>
  <si>
    <t xml:space="preserve">Enterprise Risk Management — Confidential</t>
  </si>
  <si>
    <t xml:space="preserve">Total Risks</t>
  </si>
  <si>
    <t xml:space="preserve">Critical / High</t>
  </si>
  <si>
    <t xml:space="preserve">Medium</t>
  </si>
  <si>
    <t xml:space="preserve">Low</t>
  </si>
  <si>
    <t xml:space="preserve">Open</t>
  </si>
  <si>
    <t xml:space="preserve">In Progress</t>
  </si>
  <si>
    <t xml:space="preserve">Closed</t>
  </si>
  <si>
    <t xml:space="preserve">Avg Risk Score</t>
  </si>
  <si>
    <t xml:space="preserve">Risk ID</t>
  </si>
  <si>
    <t xml:space="preserve">Risk Category</t>
  </si>
  <si>
    <t xml:space="preserve">Sub-Category</t>
  </si>
  <si>
    <t xml:space="preserve">Risk Title</t>
  </si>
  <si>
    <t xml:space="preserve">Risk Description</t>
  </si>
  <si>
    <t xml:space="preserve">Risk Owner</t>
  </si>
  <si>
    <t xml:space="preserve">Department</t>
  </si>
  <si>
    <t xml:space="preserve">Likelihood
(1–5)</t>
  </si>
  <si>
    <t xml:space="preserve">Impact
(1–5)</t>
  </si>
  <si>
    <t xml:space="preserve">Risk Score</t>
  </si>
  <si>
    <t xml:space="preserve">Risk Level</t>
  </si>
  <si>
    <t xml:space="preserve">Inherent Risk</t>
  </si>
  <si>
    <t xml:space="preserve">Control Description</t>
  </si>
  <si>
    <t xml:space="preserve">Status</t>
  </si>
  <si>
    <t xml:space="preserve">Target Date</t>
  </si>
  <si>
    <t xml:space="preserve">Residual Risk</t>
  </si>
  <si>
    <t xml:space="preserve">Last Reviewed</t>
  </si>
  <si>
    <t xml:space="preserve">Notes</t>
  </si>
  <si>
    <t xml:space="preserve">RSK-001</t>
  </si>
  <si>
    <t xml:space="preserve">Operational</t>
  </si>
  <si>
    <t xml:space="preserve">Process Failure</t>
  </si>
  <si>
    <t xml:space="preserve">Critical Process Breakdown</t>
  </si>
  <si>
    <t xml:space="preserve">Key operational processes lack documented procedures and backups, risking service disruption</t>
  </si>
  <si>
    <t xml:space="preserve">COO</t>
  </si>
  <si>
    <t xml:space="preserve">Operations</t>
  </si>
  <si>
    <t xml:space="preserve">High</t>
  </si>
  <si>
    <t xml:space="preserve">SOPs documented; quarterly process audits</t>
  </si>
  <si>
    <t xml:space="preserve">2026-03-31</t>
  </si>
  <si>
    <t xml:space="preserve">2026-01-15</t>
  </si>
  <si>
    <t xml:space="preserve">Priority remediation item</t>
  </si>
  <si>
    <t xml:space="preserve">RSK-002</t>
  </si>
  <si>
    <t xml:space="preserve">Human Error</t>
  </si>
  <si>
    <t xml:space="preserve">Data Entry Errors</t>
  </si>
  <si>
    <t xml:space="preserve">Manual data entry processes result in inaccurate records impacting business decisions</t>
  </si>
  <si>
    <t xml:space="preserve">Ops Manager</t>
  </si>
  <si>
    <t xml:space="preserve">Input validation controls; dual-entry checks</t>
  </si>
  <si>
    <t xml:space="preserve">2026-02-28</t>
  </si>
  <si>
    <t xml:space="preserve">Automation in progress</t>
  </si>
  <si>
    <t xml:space="preserve">RSK-003</t>
  </si>
  <si>
    <t xml:space="preserve">Vendor Management</t>
  </si>
  <si>
    <t xml:space="preserve">Third-Party Vendor Failure</t>
  </si>
  <si>
    <t xml:space="preserve">Reliance on single-source vendors creates operational continuity risk</t>
  </si>
  <si>
    <t xml:space="preserve">Procurement Dir</t>
  </si>
  <si>
    <t xml:space="preserve">Procurement</t>
  </si>
  <si>
    <t xml:space="preserve">Vendor diversification; SLA enforcement</t>
  </si>
  <si>
    <t xml:space="preserve">2026-06-30</t>
  </si>
  <si>
    <t xml:space="preserve">Vendor audit scheduled Q2</t>
  </si>
  <si>
    <t xml:space="preserve">RSK-004</t>
  </si>
  <si>
    <t xml:space="preserve">Capacity Planning</t>
  </si>
  <si>
    <t xml:space="preserve">Resource Constraints</t>
  </si>
  <si>
    <t xml:space="preserve">Insufficient staffing during peak periods leads to service degradation</t>
  </si>
  <si>
    <t xml:space="preserve">HR Director</t>
  </si>
  <si>
    <t xml:space="preserve">Human Resources</t>
  </si>
  <si>
    <t xml:space="preserve">Seasonal hiring plan; cross-training</t>
  </si>
  <si>
    <t xml:space="preserve">2026-04-15</t>
  </si>
  <si>
    <t xml:space="preserve">Headcount review underway</t>
  </si>
  <si>
    <t xml:space="preserve">RSK-005</t>
  </si>
  <si>
    <t xml:space="preserve">Change Management</t>
  </si>
  <si>
    <t xml:space="preserve">Uncontrolled Change Implementation</t>
  </si>
  <si>
    <t xml:space="preserve">System or process changes deployed without adequate testing or rollback plans</t>
  </si>
  <si>
    <t xml:space="preserve">IT Director</t>
  </si>
  <si>
    <t xml:space="preserve">IT</t>
  </si>
  <si>
    <t xml:space="preserve">Change advisory board; staged rollouts</t>
  </si>
  <si>
    <t xml:space="preserve">2026-02-15</t>
  </si>
  <si>
    <t xml:space="preserve">CAB policy being drafted</t>
  </si>
  <si>
    <t xml:space="preserve">RSK-006</t>
  </si>
  <si>
    <t xml:space="preserve">Financial</t>
  </si>
  <si>
    <t xml:space="preserve">Budget Overrun</t>
  </si>
  <si>
    <t xml:space="preserve">Project Cost Escalation</t>
  </si>
  <si>
    <t xml:space="preserve">Projects consistently exceed approved budgets due to poor estimation and scope creep</t>
  </si>
  <si>
    <t xml:space="preserve">CFO</t>
  </si>
  <si>
    <t xml:space="preserve">Finance</t>
  </si>
  <si>
    <t xml:space="preserve">Stage-gate approvals; budget variance reporting</t>
  </si>
  <si>
    <t xml:space="preserve">2026-03-01</t>
  </si>
  <si>
    <t xml:space="preserve">Monthly budget reviews instituted</t>
  </si>
  <si>
    <t xml:space="preserve">RSK-007</t>
  </si>
  <si>
    <t xml:space="preserve">Fraud</t>
  </si>
  <si>
    <t xml:space="preserve">Internal Fraud &amp; Misappropriation</t>
  </si>
  <si>
    <t xml:space="preserve">Inadequate segregation of duties creates opportunity for internal financial fraud</t>
  </si>
  <si>
    <t xml:space="preserve">Dual approval workflows; internal audit program</t>
  </si>
  <si>
    <t xml:space="preserve">2026-01-31</t>
  </si>
  <si>
    <t xml:space="preserve">Segregation of duties review due</t>
  </si>
  <si>
    <t xml:space="preserve">RSK-008</t>
  </si>
  <si>
    <t xml:space="preserve">Liquidity</t>
  </si>
  <si>
    <t xml:space="preserve">Cash Flow Shortfall</t>
  </si>
  <si>
    <t xml:space="preserve">Unexpected revenue dips or delayed receivables could impair near-term liquidity</t>
  </si>
  <si>
    <t xml:space="preserve">Treasurer</t>
  </si>
  <si>
    <t xml:space="preserve">Rolling 13-week cash forecast; credit facility</t>
  </si>
  <si>
    <t xml:space="preserve">2026-03-15</t>
  </si>
  <si>
    <t xml:space="preserve">Cash model updated monthly</t>
  </si>
  <si>
    <t xml:space="preserve">RSK-009</t>
  </si>
  <si>
    <t xml:space="preserve">FX Exposure</t>
  </si>
  <si>
    <t xml:space="preserve">Foreign Currency Risk</t>
  </si>
  <si>
    <t xml:space="preserve">International transactions expose the company to adverse currency fluctuations</t>
  </si>
  <si>
    <t xml:space="preserve">FX hedging policy; natural hedging</t>
  </si>
  <si>
    <t xml:space="preserve">2025-12-31</t>
  </si>
  <si>
    <t xml:space="preserve">Hedging program active</t>
  </si>
  <si>
    <t xml:space="preserve">RSK-010</t>
  </si>
  <si>
    <t xml:space="preserve">Tax Compliance</t>
  </si>
  <si>
    <t xml:space="preserve">Transfer Pricing Non-Compliance</t>
  </si>
  <si>
    <t xml:space="preserve">Intercompany transactions may not meet arm's-length transfer pricing standards</t>
  </si>
  <si>
    <t xml:space="preserve">Tax Director</t>
  </si>
  <si>
    <t xml:space="preserve">Annual TP study; Big 4 advisor review</t>
  </si>
  <si>
    <t xml:space="preserve">TP documentation update in progress</t>
  </si>
  <si>
    <t xml:space="preserve">RSK-011</t>
  </si>
  <si>
    <t xml:space="preserve">Technology</t>
  </si>
  <si>
    <t xml:space="preserve">Cybersecurity</t>
  </si>
  <si>
    <t xml:space="preserve">Ransomware Attack</t>
  </si>
  <si>
    <t xml:space="preserve">Phishing or unpatched systems could allow ransomware to encrypt critical data</t>
  </si>
  <si>
    <t xml:space="preserve">CISO</t>
  </si>
  <si>
    <t xml:space="preserve">IT Security</t>
  </si>
  <si>
    <t xml:space="preserve">Critical</t>
  </si>
  <si>
    <t xml:space="preserve">EDR tooling; immutable backups; user training</t>
  </si>
  <si>
    <t xml:space="preserve">Tabletop exercise Q1 2026</t>
  </si>
  <si>
    <t xml:space="preserve">RSK-012</t>
  </si>
  <si>
    <t xml:space="preserve">Insider Threat</t>
  </si>
  <si>
    <t xml:space="preserve">Privileged users may intentionally or accidentally exfiltrate sensitive data</t>
  </si>
  <si>
    <t xml:space="preserve">UEBA monitoring; least-privilege access</t>
  </si>
  <si>
    <t xml:space="preserve">DLP deployment ongoing</t>
  </si>
  <si>
    <t xml:space="preserve">RSK-013</t>
  </si>
  <si>
    <t xml:space="preserve">Infrastructure</t>
  </si>
  <si>
    <t xml:space="preserve">System Downtime</t>
  </si>
  <si>
    <t xml:space="preserve">Critical systems lack adequate redundancy causing extended outages</t>
  </si>
  <si>
    <t xml:space="preserve">HA architecture; RTO/RPO targets defined</t>
  </si>
  <si>
    <t xml:space="preserve">2026-04-30</t>
  </si>
  <si>
    <t xml:space="preserve">DR site upgrade planned</t>
  </si>
  <si>
    <t xml:space="preserve">RSK-014</t>
  </si>
  <si>
    <t xml:space="preserve">Data Management</t>
  </si>
  <si>
    <t xml:space="preserve">Data Loss / Corruption</t>
  </si>
  <si>
    <t xml:space="preserve">Inadequate backup and recovery procedures risk permanent data loss</t>
  </si>
  <si>
    <t xml:space="preserve">Daily backups; annual DR test</t>
  </si>
  <si>
    <t xml:space="preserve">DR test overdue</t>
  </si>
  <si>
    <t xml:space="preserve">RSK-015</t>
  </si>
  <si>
    <t xml:space="preserve">Software Development</t>
  </si>
  <si>
    <t xml:space="preserve">Vulnerable Code in Production</t>
  </si>
  <si>
    <t xml:space="preserve">Insecure coding practices introduce exploitable vulnerabilities in applications</t>
  </si>
  <si>
    <t xml:space="preserve">CTO</t>
  </si>
  <si>
    <t xml:space="preserve">Engineering</t>
  </si>
  <si>
    <t xml:space="preserve">SAST/DAST scanning; secure SDLC</t>
  </si>
  <si>
    <t xml:space="preserve">DevSecOps pipeline in build</t>
  </si>
  <si>
    <t xml:space="preserve">RSK-016</t>
  </si>
  <si>
    <t xml:space="preserve">Access Control</t>
  </si>
  <si>
    <t xml:space="preserve">Orphaned Privileged Accounts</t>
  </si>
  <si>
    <t xml:space="preserve">Terminated employees retain active system access beyond offboarding</t>
  </si>
  <si>
    <t xml:space="preserve">Automated de-provisioning; quarterly access review</t>
  </si>
  <si>
    <t xml:space="preserve">Access recertification campaign needed</t>
  </si>
  <si>
    <t xml:space="preserve">RSK-017</t>
  </si>
  <si>
    <t xml:space="preserve">Cloud</t>
  </si>
  <si>
    <t xml:space="preserve">Cloud Misconfiguration</t>
  </si>
  <si>
    <t xml:space="preserve">Misconfigured cloud resources expose sensitive data to public internet</t>
  </si>
  <si>
    <t xml:space="preserve">Cloud Architect</t>
  </si>
  <si>
    <t xml:space="preserve">CSPM tooling; cloud security baseline</t>
  </si>
  <si>
    <t xml:space="preserve">CSPM tool deployed, remediation ongoing</t>
  </si>
  <si>
    <t xml:space="preserve">RSK-018</t>
  </si>
  <si>
    <t xml:space="preserve">AI/ML</t>
  </si>
  <si>
    <t xml:space="preserve">Biased AI Model Outputs</t>
  </si>
  <si>
    <t xml:space="preserve">Machine learning models produce biased or inaccurate recommendations affecting decisions</t>
  </si>
  <si>
    <t xml:space="preserve">Data Science Lead</t>
  </si>
  <si>
    <t xml:space="preserve">Analytics</t>
  </si>
  <si>
    <t xml:space="preserve">Model validation; bias testing; human review</t>
  </si>
  <si>
    <t xml:space="preserve">AI governance policy in draft</t>
  </si>
  <si>
    <t xml:space="preserve">RSK-019</t>
  </si>
  <si>
    <t xml:space="preserve">Compliance</t>
  </si>
  <si>
    <t xml:space="preserve">Regulatory</t>
  </si>
  <si>
    <t xml:space="preserve">Data Privacy Regulation Breach</t>
  </si>
  <si>
    <t xml:space="preserve">Non-compliance with GDPR, CCPA or local privacy laws results in regulatory fines</t>
  </si>
  <si>
    <t xml:space="preserve">DPO</t>
  </si>
  <si>
    <t xml:space="preserve">Legal</t>
  </si>
  <si>
    <t xml:space="preserve">Privacy impact assessments; consent management</t>
  </si>
  <si>
    <t xml:space="preserve">DPIA backlog being cleared</t>
  </si>
  <si>
    <t xml:space="preserve">RSK-020</t>
  </si>
  <si>
    <t xml:space="preserve">Employment Law Violations</t>
  </si>
  <si>
    <t xml:space="preserve">HR policies not aligned with evolving employment regulations in operating jurisdictions</t>
  </si>
  <si>
    <t xml:space="preserve">CHRO</t>
  </si>
  <si>
    <t xml:space="preserve">Annual policy review; employment counsel</t>
  </si>
  <si>
    <t xml:space="preserve">2026-05-31</t>
  </si>
  <si>
    <t xml:space="preserve">Multi-jurisdiction review needed</t>
  </si>
  <si>
    <t xml:space="preserve">RSK-021</t>
  </si>
  <si>
    <t xml:space="preserve">Contractual</t>
  </si>
  <si>
    <t xml:space="preserve">Contract Non-Performance</t>
  </si>
  <si>
    <t xml:space="preserve">Failure to meet contractual SLAs triggers financial penalties and reputational damage</t>
  </si>
  <si>
    <t xml:space="preserve">Legal Counsel</t>
  </si>
  <si>
    <t xml:space="preserve">SLA monitoring dashboards; escalation protocols</t>
  </si>
  <si>
    <t xml:space="preserve">SLA dashboard in development</t>
  </si>
  <si>
    <t xml:space="preserve">RSK-022</t>
  </si>
  <si>
    <t xml:space="preserve">Anti-Bribery</t>
  </si>
  <si>
    <t xml:space="preserve">FCPA / Bribery Act Exposure</t>
  </si>
  <si>
    <t xml:space="preserve">Operations in higher-risk jurisdictions create anti-bribery compliance obligations</t>
  </si>
  <si>
    <t xml:space="preserve">CLO</t>
  </si>
  <si>
    <t xml:space="preserve">ABAC policy; gift and hospitality register</t>
  </si>
  <si>
    <t xml:space="preserve">Training completion at 60%</t>
  </si>
  <si>
    <t xml:space="preserve">RSK-023</t>
  </si>
  <si>
    <t xml:space="preserve">Licensing</t>
  </si>
  <si>
    <t xml:space="preserve">Software Licensing Non-Compliance</t>
  </si>
  <si>
    <t xml:space="preserve">Untracked software usage may exceed license entitlements exposing company to audits</t>
  </si>
  <si>
    <t xml:space="preserve">SAM tooling; annual software audit</t>
  </si>
  <si>
    <t xml:space="preserve">SAM tool implementation in progress</t>
  </si>
  <si>
    <t xml:space="preserve">RSK-024</t>
  </si>
  <si>
    <t xml:space="preserve">Strategic</t>
  </si>
  <si>
    <t xml:space="preserve">Market</t>
  </si>
  <si>
    <t xml:space="preserve">Competitive Disruption</t>
  </si>
  <si>
    <t xml:space="preserve">New market entrants or disruptive technologies erode company's competitive position</t>
  </si>
  <si>
    <t xml:space="preserve">CEO</t>
  </si>
  <si>
    <t xml:space="preserve">Executive</t>
  </si>
  <si>
    <t xml:space="preserve">Competitive intelligence program; product roadmap reviews</t>
  </si>
  <si>
    <t xml:space="preserve">Quarterly strategy reviews</t>
  </si>
  <si>
    <t xml:space="preserve">RSK-025</t>
  </si>
  <si>
    <t xml:space="preserve">M&amp;A</t>
  </si>
  <si>
    <t xml:space="preserve">Post-Merger Integration Failure</t>
  </si>
  <si>
    <t xml:space="preserve">Acquisitions fail to deliver expected synergies due to poor integration planning</t>
  </si>
  <si>
    <t xml:space="preserve">100-day integration playbook; integration PMO</t>
  </si>
  <si>
    <t xml:space="preserve">2026-09-30</t>
  </si>
  <si>
    <t xml:space="preserve">Playbook drafted for next acquisition</t>
  </si>
  <si>
    <t xml:space="preserve">RSK-026</t>
  </si>
  <si>
    <t xml:space="preserve">Innovation</t>
  </si>
  <si>
    <t xml:space="preserve">Failure to Innovate</t>
  </si>
  <si>
    <t xml:space="preserve">Slow product development cycle causes loss of market share to agile competitors</t>
  </si>
  <si>
    <t xml:space="preserve">Product</t>
  </si>
  <si>
    <t xml:space="preserve">Innovation sprints; R&amp;D investment targets</t>
  </si>
  <si>
    <t xml:space="preserve">Product velocity metrics being tracked</t>
  </si>
  <si>
    <t xml:space="preserve">RSK-027</t>
  </si>
  <si>
    <t xml:space="preserve">Concentration</t>
  </si>
  <si>
    <t xml:space="preserve">Customer Concentration Risk</t>
  </si>
  <si>
    <t xml:space="preserve">Over-reliance on top 3 customers creates significant revenue concentration risk</t>
  </si>
  <si>
    <t xml:space="preserve">CRO</t>
  </si>
  <si>
    <t xml:space="preserve">Sales</t>
  </si>
  <si>
    <t xml:space="preserve">Customer diversification strategy; retention programs</t>
  </si>
  <si>
    <t xml:space="preserve">New vertical sales motion launched</t>
  </si>
  <si>
    <t xml:space="preserve">RSK-028</t>
  </si>
  <si>
    <t xml:space="preserve">Reputational</t>
  </si>
  <si>
    <t xml:space="preserve">Brand &amp; Reputation Damage</t>
  </si>
  <si>
    <t xml:space="preserve">Negative media coverage or social media incidents erode brand trust and customer loyalty</t>
  </si>
  <si>
    <t xml:space="preserve">CMO</t>
  </si>
  <si>
    <t xml:space="preserve">Marketing</t>
  </si>
  <si>
    <t xml:space="preserve">PR crisis plan; social media monitoring</t>
  </si>
  <si>
    <t xml:space="preserve">Crisis comms playbook in review</t>
  </si>
  <si>
    <t xml:space="preserve">RSK-029</t>
  </si>
  <si>
    <t xml:space="preserve">People</t>
  </si>
  <si>
    <t xml:space="preserve">Talent</t>
  </si>
  <si>
    <t xml:space="preserve">Key Person Dependency</t>
  </si>
  <si>
    <t xml:space="preserve">Critical institutional knowledge concentrated in a few individuals creates succession risk</t>
  </si>
  <si>
    <t xml:space="preserve">Succession planning; knowledge documentation</t>
  </si>
  <si>
    <t xml:space="preserve">Succession plans for top 20 roles</t>
  </si>
  <si>
    <t xml:space="preserve">RSK-030</t>
  </si>
  <si>
    <t xml:space="preserve">High Attrition / Talent Drain</t>
  </si>
  <si>
    <t xml:space="preserve">Elevated employee turnover disrupts operations and increases recruitment costs</t>
  </si>
  <si>
    <t xml:space="preserve">Stay interviews; compensation benchmarking</t>
  </si>
  <si>
    <t xml:space="preserve">Engagement survey results pending</t>
  </si>
  <si>
    <t xml:space="preserve">RSK-031</t>
  </si>
  <si>
    <t xml:space="preserve">Culture</t>
  </si>
  <si>
    <t xml:space="preserve">Workplace Harassment</t>
  </si>
  <si>
    <t xml:space="preserve">Inadequate reporting mechanisms allow harassment or discrimination to go unaddressed</t>
  </si>
  <si>
    <t xml:space="preserve">Anonymous hotline; mandatory training</t>
  </si>
  <si>
    <t xml:space="preserve">Training completion at 75%</t>
  </si>
  <si>
    <t xml:space="preserve">RSK-032</t>
  </si>
  <si>
    <t xml:space="preserve">Health &amp; Safety</t>
  </si>
  <si>
    <t xml:space="preserve">Workplace Injury</t>
  </si>
  <si>
    <t xml:space="preserve">Inadequate safety protocols expose employees to physical injury risks</t>
  </si>
  <si>
    <t xml:space="preserve">Facilities Mgr</t>
  </si>
  <si>
    <t xml:space="preserve">Facilities</t>
  </si>
  <si>
    <t xml:space="preserve">Safety audits; incident reporting system</t>
  </si>
  <si>
    <t xml:space="preserve">2025-09-30</t>
  </si>
  <si>
    <t xml:space="preserve">Annual audit completed</t>
  </si>
  <si>
    <t xml:space="preserve">RSK-033</t>
  </si>
  <si>
    <t xml:space="preserve">Remote Work</t>
  </si>
  <si>
    <t xml:space="preserve">Remote Work Security Gaps</t>
  </si>
  <si>
    <t xml:space="preserve">Remote employees access sensitive systems from unsecured home networks</t>
  </si>
  <si>
    <t xml:space="preserve">VPN mandate; endpoint management; training</t>
  </si>
  <si>
    <t xml:space="preserve">Zero Trust rollout complete</t>
  </si>
  <si>
    <t xml:space="preserve">RSK-034</t>
  </si>
  <si>
    <t xml:space="preserve">Environmental</t>
  </si>
  <si>
    <t xml:space="preserve">Climate</t>
  </si>
  <si>
    <t xml:space="preserve">Physical Climate Risk</t>
  </si>
  <si>
    <t xml:space="preserve">Extreme weather events disrupt operations at key facilities</t>
  </si>
  <si>
    <t xml:space="preserve">Business continuity plans; facility assessments</t>
  </si>
  <si>
    <t xml:space="preserve">2026-12-31</t>
  </si>
  <si>
    <t xml:space="preserve">Climate risk assessment initiated</t>
  </si>
  <si>
    <t xml:space="preserve">RSK-035</t>
  </si>
  <si>
    <t xml:space="preserve">ESG</t>
  </si>
  <si>
    <t xml:space="preserve">ESG Reporting Non-Compliance</t>
  </si>
  <si>
    <t xml:space="preserve">Inability to produce accurate ESG metrics leads to investor and regulatory scrutiny</t>
  </si>
  <si>
    <t xml:space="preserve">ESG data collection framework; third-party audit</t>
  </si>
  <si>
    <t xml:space="preserve">ESG framework being implemented</t>
  </si>
  <si>
    <t xml:space="preserve">RSK-036</t>
  </si>
  <si>
    <t xml:space="preserve">Waste</t>
  </si>
  <si>
    <t xml:space="preserve">Improper Waste Disposal</t>
  </si>
  <si>
    <t xml:space="preserve">Non-compliant disposal of operational waste violates environmental regulations</t>
  </si>
  <si>
    <t xml:space="preserve">Waste management policy; approved vendor use</t>
  </si>
  <si>
    <t xml:space="preserve">2025-11-30</t>
  </si>
  <si>
    <t xml:space="preserve">Vendor contracts renewed</t>
  </si>
  <si>
    <t xml:space="preserve">RSK-037</t>
  </si>
  <si>
    <t xml:space="preserve">Litigation</t>
  </si>
  <si>
    <t xml:space="preserve">Material Litigation Exposure</t>
  </si>
  <si>
    <t xml:space="preserve">Pending or threatened lawsuits create financial liability and management distraction</t>
  </si>
  <si>
    <t xml:space="preserve">Litigation reserve; outside counsel management</t>
  </si>
  <si>
    <t xml:space="preserve">3 open matters being managed</t>
  </si>
  <si>
    <t xml:space="preserve">RSK-038</t>
  </si>
  <si>
    <t xml:space="preserve">IP</t>
  </si>
  <si>
    <t xml:space="preserve">Intellectual Property Infringement</t>
  </si>
  <si>
    <t xml:space="preserve">Competitors or employees misappropriate proprietary IP or trade secrets</t>
  </si>
  <si>
    <t xml:space="preserve">IP inventory; NDA enforcement; monitoring</t>
  </si>
  <si>
    <t xml:space="preserve">IP audit in scope for 2026</t>
  </si>
  <si>
    <t xml:space="preserve">RSK-039</t>
  </si>
  <si>
    <t xml:space="preserve">Product Liability</t>
  </si>
  <si>
    <t xml:space="preserve">Product Recall Risk</t>
  </si>
  <si>
    <t xml:space="preserve">Product defects result in recalls, regulatory action, or personal injury claims</t>
  </si>
  <si>
    <t xml:space="preserve">Quality management system; product testing</t>
  </si>
  <si>
    <t xml:space="preserve">Quality gate review scheduled</t>
  </si>
  <si>
    <t xml:space="preserve">RSK-040</t>
  </si>
  <si>
    <t xml:space="preserve">Privacy</t>
  </si>
  <si>
    <t xml:space="preserve">Biometric Data Misuse</t>
  </si>
  <si>
    <t xml:space="preserve">Collection of biometric data without compliant consent frameworks creates legal exposure</t>
  </si>
  <si>
    <t xml:space="preserve">Consent management; data minimization policy</t>
  </si>
  <si>
    <t xml:space="preserve">Policy drafted, legal review pending</t>
  </si>
  <si>
    <t xml:space="preserve">RSK-041</t>
  </si>
  <si>
    <t xml:space="preserve">Supply Chain</t>
  </si>
  <si>
    <t xml:space="preserve">Disruption</t>
  </si>
  <si>
    <t xml:space="preserve">Raw Material Shortages</t>
  </si>
  <si>
    <t xml:space="preserve">Geopolitical or logistical disruptions create critical raw material supply gaps</t>
  </si>
  <si>
    <t xml:space="preserve">Dual sourcing; safety stock targets</t>
  </si>
  <si>
    <t xml:space="preserve">Safety stock levels under review</t>
  </si>
  <si>
    <t xml:space="preserve">RSK-042</t>
  </si>
  <si>
    <t xml:space="preserve">Logistics</t>
  </si>
  <si>
    <t xml:space="preserve">Distribution Network Failure</t>
  </si>
  <si>
    <t xml:space="preserve">Reliance on single logistics partners creates fulfillment risk during peak periods</t>
  </si>
  <si>
    <t xml:space="preserve">Multi-carrier strategy; 3PL agreements</t>
  </si>
  <si>
    <t xml:space="preserve">3PL RFP in progress</t>
  </si>
  <si>
    <t xml:space="preserve">RSK-043</t>
  </si>
  <si>
    <t xml:space="preserve">Geopolitical</t>
  </si>
  <si>
    <t xml:space="preserve">Tariff &amp; Trade Policy Changes</t>
  </si>
  <si>
    <t xml:space="preserve">Shifting trade policies increase input costs and disrupt cross-border supply chains</t>
  </si>
  <si>
    <t xml:space="preserve">Tariff monitoring; pricing flexibility provisions</t>
  </si>
  <si>
    <t xml:space="preserve">Trade counsel engaged</t>
  </si>
  <si>
    <t xml:space="preserve">RSK-044</t>
  </si>
  <si>
    <t xml:space="preserve">Business Continuity</t>
  </si>
  <si>
    <t xml:space="preserve">Pandemic / Mass Absence</t>
  </si>
  <si>
    <t xml:space="preserve">Large-scale employee absence disrupts operations with no tested BCP in place</t>
  </si>
  <si>
    <t xml:space="preserve">BCP framework; cross-training; remote capability</t>
  </si>
  <si>
    <t xml:space="preserve">BCP plan refresh underway</t>
  </si>
  <si>
    <t xml:space="preserve">RSK-045</t>
  </si>
  <si>
    <t xml:space="preserve">IoT / OT</t>
  </si>
  <si>
    <t xml:space="preserve">OT/IoT Device Compromise</t>
  </si>
  <si>
    <t xml:space="preserve">Unmanaged IoT and OT devices provide entry points into corporate networks</t>
  </si>
  <si>
    <t xml:space="preserve">Asset inventory; network segmentation; firmware patching</t>
  </si>
  <si>
    <t xml:space="preserve">OT asset discovery underway</t>
  </si>
  <si>
    <t xml:space="preserve">RSK-046</t>
  </si>
  <si>
    <t xml:space="preserve">Insurance</t>
  </si>
  <si>
    <t xml:space="preserve">Underinsurance Exposure</t>
  </si>
  <si>
    <t xml:space="preserve">Existing insurance policies fail to adequately cover emerging risk categories</t>
  </si>
  <si>
    <t xml:space="preserve">Annual insurance gap analysis; broker review</t>
  </si>
  <si>
    <t xml:space="preserve">Broker review scheduled Q2</t>
  </si>
  <si>
    <t xml:space="preserve">RSK-047</t>
  </si>
  <si>
    <t xml:space="preserve">Sanctions</t>
  </si>
  <si>
    <t xml:space="preserve">Sanctions Screening Gaps</t>
  </si>
  <si>
    <t xml:space="preserve">Customers or transactions not screened against current sanctions lists</t>
  </si>
  <si>
    <t xml:space="preserve">Automated sanctions screening; regular list updates</t>
  </si>
  <si>
    <t xml:space="preserve">Screening tool upgrade in progress</t>
  </si>
  <si>
    <t xml:space="preserve">RSK-048</t>
  </si>
  <si>
    <t xml:space="preserve">Partnership</t>
  </si>
  <si>
    <t xml:space="preserve">Strategic Alliance Failure</t>
  </si>
  <si>
    <t xml:space="preserve">Key partnerships or joint ventures fail to deliver expected strategic value</t>
  </si>
  <si>
    <t xml:space="preserve">Partnership governance; KPI-driven reviews</t>
  </si>
  <si>
    <t xml:space="preserve">Partnership review cadence established</t>
  </si>
  <si>
    <t xml:space="preserve">RSK-049</t>
  </si>
  <si>
    <t xml:space="preserve">Diversity &amp; Inclusion</t>
  </si>
  <si>
    <t xml:space="preserve">DEI Commitment Gaps</t>
  </si>
  <si>
    <t xml:space="preserve">Failure to meet stated DEI targets damages employer brand and regulatory standing</t>
  </si>
  <si>
    <t xml:space="preserve">DEI KPIs; pay equity audit; ERG support</t>
  </si>
  <si>
    <t xml:space="preserve">Pay equity analysis underway</t>
  </si>
  <si>
    <t xml:space="preserve">RSK-050</t>
  </si>
  <si>
    <t xml:space="preserve">API Security</t>
  </si>
  <si>
    <t xml:space="preserve">Unsecured API Integrations</t>
  </si>
  <si>
    <t xml:space="preserve">Third-party API integrations lack authentication controls exposing sensitive data</t>
  </si>
  <si>
    <t xml:space="preserve">API gateway; OAuth2 enforcement; rate limiting</t>
  </si>
  <si>
    <t xml:space="preserve">API inventory being built</t>
  </si>
  <si>
    <t xml:space="preserve">RSK-051</t>
  </si>
  <si>
    <t xml:space="preserve">Critical Facilities Failure</t>
  </si>
  <si>
    <t xml:space="preserve">HVAC, power, or physical security failures at key sites disrupt operations</t>
  </si>
  <si>
    <t xml:space="preserve">Preventive maintenance schedule; backup generators</t>
  </si>
  <si>
    <t xml:space="preserve">2025-10-31</t>
  </si>
  <si>
    <t xml:space="preserve">UPS and generators tested</t>
  </si>
  <si>
    <t xml:space="preserve">RISK HEAT MAP — LIKELIHOOD vs IMPACT</t>
  </si>
  <si>
    <t xml:space="preserve">Scores = Likelihood × Impact  |  Max Score = 25</t>
  </si>
  <si>
    <t xml:space="preserve">Impact 1
Negligible</t>
  </si>
  <si>
    <t xml:space="preserve">Impact 2
Minor</t>
  </si>
  <si>
    <t xml:space="preserve">Impact 3
Moderate</t>
  </si>
  <si>
    <t xml:space="preserve">Impact 4
Major</t>
  </si>
  <si>
    <t xml:space="preserve">Impact 5
Critical</t>
  </si>
  <si>
    <t xml:space="preserve">Likelihood 5
Almost Certain</t>
  </si>
  <si>
    <t xml:space="preserve">Likelihood 4
Likely</t>
  </si>
  <si>
    <t xml:space="preserve">Likelihood 3
Possible</t>
  </si>
  <si>
    <t xml:space="preserve">Likelihood 2
Unlikely</t>
  </si>
  <si>
    <t xml:space="preserve">Likelihood 1
Rare</t>
  </si>
  <si>
    <t xml:space="preserve">CRITICAL / HIGH  (Score 15–25)</t>
  </si>
  <si>
    <t xml:space="preserve">MEDIUM  (Score 8–12)</t>
  </si>
  <si>
    <t xml:space="preserve">LOW  (Score 1–6)</t>
  </si>
  <si>
    <t xml:space="preserve">RISK SCORING GUIDE</t>
  </si>
  <si>
    <t xml:space="preserve">LIKELIHOOD SCALE</t>
  </si>
  <si>
    <t xml:space="preserve">1 – Rare</t>
  </si>
  <si>
    <t xml:space="preserve">Event unlikely to occur; &lt; once every 5 years</t>
  </si>
  <si>
    <t xml:space="preserve">&lt; 5%</t>
  </si>
  <si>
    <t xml:space="preserve">2 – Unlikely</t>
  </si>
  <si>
    <t xml:space="preserve">Event could occur but not expected; 1–3 years</t>
  </si>
  <si>
    <t xml:space="preserve">5–25%</t>
  </si>
  <si>
    <t xml:space="preserve">3 – Possible</t>
  </si>
  <si>
    <t xml:space="preserve">Event may occur in some circumstances; 1–2 years</t>
  </si>
  <si>
    <t xml:space="preserve">26–50%</t>
  </si>
  <si>
    <t xml:space="preserve">4 – Likely</t>
  </si>
  <si>
    <t xml:space="preserve">Event will probably occur in most circumstances; &lt; 1 year</t>
  </si>
  <si>
    <t xml:space="preserve">51–75%</t>
  </si>
  <si>
    <t xml:space="preserve">5 – Almost Certain</t>
  </si>
  <si>
    <t xml:space="preserve">Event expected to occur in most circumstances; within months</t>
  </si>
  <si>
    <t xml:space="preserve">76–100%</t>
  </si>
  <si>
    <t xml:space="preserve">IMPACT SCALE</t>
  </si>
  <si>
    <t xml:space="preserve">1 – Negligible</t>
  </si>
  <si>
    <t xml:space="preserve">Minimal impact; easily absorbed; no disruption to objectives</t>
  </si>
  <si>
    <t xml:space="preserve">2 – Minor</t>
  </si>
  <si>
    <t xml:space="preserve">Minor impact; short-term disruption; &lt; $10K financial loss</t>
  </si>
  <si>
    <t xml:space="preserve">3 – Moderate</t>
  </si>
  <si>
    <t xml:space="preserve">Moderate impact; recoverable within weeks; $10K–$100K loss</t>
  </si>
  <si>
    <t xml:space="preserve">4 – Major</t>
  </si>
  <si>
    <t xml:space="preserve">Significant impact; recovery may take months; $100K–$1M loss</t>
  </si>
  <si>
    <t xml:space="preserve">5 – Critical</t>
  </si>
  <si>
    <t xml:space="preserve">Catastrophic impact; threatens viability; &gt; $1M loss</t>
  </si>
  <si>
    <t xml:space="preserve">RISK RATING MATRIX</t>
  </si>
  <si>
    <t xml:space="preserve">20–25</t>
  </si>
  <si>
    <t xml:space="preserve">Immediate executive action required; board notification</t>
  </si>
  <si>
    <t xml:space="preserve">15–19</t>
  </si>
  <si>
    <t xml:space="preserve">Senior management action; formal risk treatment plan</t>
  </si>
  <si>
    <t xml:space="preserve">8–12</t>
  </si>
  <si>
    <t xml:space="preserve">Management responsibility; mitigation plan required</t>
  </si>
  <si>
    <t xml:space="preserve">1–6</t>
  </si>
  <si>
    <t xml:space="preserve">Routine monitoring; manage through standard procedures</t>
  </si>
  <si>
    <t xml:space="preserve">RISK CATEGORIES</t>
  </si>
  <si>
    <t xml:space="preserve">Process failures, vendor issues, human error, capacity</t>
  </si>
  <si>
    <t xml:space="preserve">Fraud, budget overrun, liquidity, FX, tax</t>
  </si>
  <si>
    <t xml:space="preserve">Cybersecurity, infrastructure, cloud, AI/ML, APIs</t>
  </si>
  <si>
    <t xml:space="preserve">Regulatory, contractual, anti-bribery, licensing</t>
  </si>
  <si>
    <t xml:space="preserve">Market, M&amp;A, innovation, concentration, reputation</t>
  </si>
  <si>
    <t xml:space="preserve">Talent, culture, H&amp;S, remote work, DEI</t>
  </si>
  <si>
    <t xml:space="preserve">Climate, ESG reporting, waste management</t>
  </si>
  <si>
    <t xml:space="preserve">Litigation, IP, product liability, privacy</t>
  </si>
  <si>
    <t xml:space="preserve">Disruption, logistics, geopolitical trade risk</t>
  </si>
  <si>
    <t xml:space="preserve">RISK MANAGEMENT DASHBOARD</t>
  </si>
  <si>
    <t xml:space="preserve">Summary view — linked to Risk Register</t>
  </si>
  <si>
    <t xml:space="preserve">Open Risks</t>
  </si>
  <si>
    <t xml:space="preserve">Avg Score</t>
  </si>
  <si>
    <t xml:space="preserve">RISKS BY CATEGORY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</si>
</sst>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General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509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22"/>
      <color rgb="FFFFFF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4F6F9"/>
        <bgColor rgb="FFEBF5FB"/>
      </patternFill>
    </fill>
    <fill>
      <patternFill patternType="solid">
        <fgColor rgb="FF2E5090"/>
        <bgColor rgb="FF555555"/>
      </patternFill>
    </fill>
    <fill>
      <patternFill patternType="solid">
        <fgColor rgb="FFC0392B"/>
        <bgColor rgb="FF993366"/>
      </patternFill>
    </fill>
    <fill>
      <patternFill patternType="solid">
        <fgColor rgb="FFF59E0B"/>
        <bgColor rgb="FFFFCC00"/>
      </patternFill>
    </fill>
    <fill>
      <patternFill patternType="solid">
        <fgColor rgb="FF1A7A4A"/>
        <bgColor rgb="FF2E8B57"/>
      </patternFill>
    </fill>
    <fill>
      <patternFill patternType="solid">
        <fgColor rgb="FF5B6F8E"/>
        <bgColor rgb="FF7A5C9E"/>
      </patternFill>
    </fill>
    <fill>
      <patternFill patternType="solid">
        <fgColor rgb="FF7A5C9E"/>
        <bgColor rgb="FF5B6F8E"/>
      </patternFill>
    </fill>
    <fill>
      <patternFill patternType="solid">
        <fgColor rgb="FF0E8A7A"/>
        <bgColor rgb="FF2E8B57"/>
      </patternFill>
    </fill>
    <fill>
      <patternFill patternType="solid">
        <fgColor rgb="FFFFFFFF"/>
        <bgColor rgb="FFFEF9E7"/>
      </patternFill>
    </fill>
    <fill>
      <patternFill patternType="solid">
        <fgColor rgb="FFE05C2A"/>
        <bgColor rgb="FFC0392B"/>
      </patternFill>
    </fill>
    <fill>
      <patternFill patternType="solid">
        <fgColor rgb="FFEBF5FB"/>
        <bgColor rgb="FFEAF2FF"/>
      </patternFill>
    </fill>
    <fill>
      <patternFill patternType="solid">
        <fgColor rgb="FFFEF9E7"/>
        <bgColor rgb="FFFFF8E1"/>
      </patternFill>
    </fill>
    <fill>
      <patternFill patternType="solid">
        <fgColor rgb="FF27AE60"/>
        <bgColor rgb="FF2E8B57"/>
      </patternFill>
    </fill>
    <fill>
      <patternFill patternType="solid">
        <fgColor rgb="FF2E8B57"/>
        <bgColor rgb="FF1A7A4A"/>
      </patternFill>
    </fill>
    <fill>
      <patternFill patternType="solid">
        <fgColor rgb="FFEAF2FF"/>
        <bgColor rgb="FFEBF5FB"/>
      </patternFill>
    </fill>
    <fill>
      <patternFill patternType="solid">
        <fgColor rgb="FFF5EEF8"/>
        <bgColor rgb="FFF4F6F9"/>
      </patternFill>
    </fill>
    <fill>
      <patternFill patternType="solid">
        <fgColor rgb="FFFFF3E0"/>
        <bgColor rgb="FFFFF8E1"/>
      </patternFill>
    </fill>
    <fill>
      <patternFill patternType="solid">
        <fgColor rgb="FFE8F8F5"/>
        <bgColor rgb="FFEAFAF1"/>
      </patternFill>
    </fill>
    <fill>
      <patternFill patternType="solid">
        <fgColor rgb="FFEAFAF1"/>
        <bgColor rgb="FFE8F8F5"/>
      </patternFill>
    </fill>
    <fill>
      <patternFill patternType="solid">
        <fgColor rgb="FFFEF3F2"/>
        <bgColor rgb="FFFEF9E7"/>
      </patternFill>
    </fill>
    <fill>
      <patternFill patternType="solid">
        <fgColor rgb="FFFFF8E1"/>
        <bgColor rgb="FFFEF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E8A7A"/>
      <rgbColor rgb="FFEAF2FF"/>
      <rgbColor rgb="FF888888"/>
      <rgbColor rgb="FF9999FF"/>
      <rgbColor rgb="FF7A5C9E"/>
      <rgbColor rgb="FFFFF8E1"/>
      <rgbColor rgb="FFE8F8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AFAF1"/>
      <rgbColor rgb="FFEBF5FB"/>
      <rgbColor rgb="FFFFF3E0"/>
      <rgbColor rgb="FFF4F6F9"/>
      <rgbColor rgb="FFFEF3F2"/>
      <rgbColor rgb="FFCC99FF"/>
      <rgbColor rgb="FFF5EEF8"/>
      <rgbColor rgb="FF3366FF"/>
      <rgbColor rgb="FF27AE60"/>
      <rgbColor rgb="FF99CC00"/>
      <rgbColor rgb="FFFFCC00"/>
      <rgbColor rgb="FFF59E0B"/>
      <rgbColor rgb="FFE05C2A"/>
      <rgbColor rgb="FF5B6F8E"/>
      <rgbColor rgb="FFAAAAAA"/>
      <rgbColor rgb="FF003366"/>
      <rgbColor rgb="FF2E8B57"/>
      <rgbColor rgb="FF003300"/>
      <rgbColor rgb="FF555555"/>
      <rgbColor rgb="FFC0392B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R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13"/>
    <col collapsed="false" customWidth="true" hidden="false" outlineLevel="0" max="17" min="15" style="0" width="14"/>
    <col collapsed="false" customWidth="true" hidden="false" outlineLevel="0" max="18" min="18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  <c r="M4" s="3" t="s">
        <v>8</v>
      </c>
      <c r="N4" s="3"/>
      <c r="O4" s="3" t="s">
        <v>9</v>
      </c>
      <c r="P4" s="3"/>
    </row>
    <row r="5" customFormat="false" ht="33.75" hidden="false" customHeight="true" outlineLevel="0" collapsed="false">
      <c r="A5" s="4" t="n">
        <f aca="false">COUNTA(A8:A57)</f>
        <v>50</v>
      </c>
      <c r="B5" s="4"/>
      <c r="C5" s="5" t="n">
        <f aca="false">COUNTIF(K8:K57,"Critical")+COUNTIF(K8:K57,"High")</f>
        <v>29</v>
      </c>
      <c r="D5" s="5"/>
      <c r="E5" s="6" t="n">
        <f aca="false">COUNTIF(K8:K57,"Medium")</f>
        <v>21</v>
      </c>
      <c r="F5" s="6"/>
      <c r="G5" s="7" t="n">
        <f aca="false">COUNTIF(K8:K57,"Low")</f>
        <v>0</v>
      </c>
      <c r="H5" s="7"/>
      <c r="I5" s="8" t="n">
        <f aca="false">COUNTIF(N8:N57,"Open")</f>
        <v>26</v>
      </c>
      <c r="J5" s="8"/>
      <c r="K5" s="9" t="n">
        <f aca="false">COUNTIF(N8:N57,"In Progress")</f>
        <v>20</v>
      </c>
      <c r="L5" s="9"/>
      <c r="M5" s="7" t="n">
        <f aca="false">COUNTIF(N8:N57,"Closed")</f>
        <v>4</v>
      </c>
      <c r="N5" s="7"/>
      <c r="O5" s="10" t="n">
        <f aca="false">IFERROR(AVERAGE(J8:J57),"-")</f>
        <v>11.16</v>
      </c>
      <c r="P5" s="10"/>
    </row>
    <row r="6" customFormat="false" ht="7.5" hidden="false" customHeight="true" outlineLevel="0" collapsed="false"/>
    <row r="7" customFormat="false" ht="36" hidden="false" customHeight="true" outlineLevel="0" collapsed="false">
      <c r="A7" s="11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11" t="s">
        <v>22</v>
      </c>
      <c r="N7" s="11" t="s">
        <v>23</v>
      </c>
      <c r="O7" s="11" t="s">
        <v>24</v>
      </c>
      <c r="P7" s="11" t="s">
        <v>25</v>
      </c>
      <c r="Q7" s="11" t="s">
        <v>26</v>
      </c>
      <c r="R7" s="11" t="s">
        <v>27</v>
      </c>
    </row>
    <row r="8" customFormat="false" ht="30" hidden="false" customHeight="true" outlineLevel="0" collapsed="false">
      <c r="A8" s="12" t="s">
        <v>28</v>
      </c>
      <c r="B8" s="13" t="s">
        <v>29</v>
      </c>
      <c r="C8" s="13" t="s">
        <v>30</v>
      </c>
      <c r="D8" s="13" t="s">
        <v>31</v>
      </c>
      <c r="E8" s="13" t="s">
        <v>32</v>
      </c>
      <c r="F8" s="13" t="s">
        <v>33</v>
      </c>
      <c r="G8" s="13" t="s">
        <v>34</v>
      </c>
      <c r="H8" s="14" t="n">
        <v>4</v>
      </c>
      <c r="I8" s="14" t="n">
        <v>4</v>
      </c>
      <c r="J8" s="15" t="n">
        <f aca="false">H8*I8</f>
        <v>16</v>
      </c>
      <c r="K8" s="16" t="s">
        <v>35</v>
      </c>
      <c r="L8" s="16" t="s">
        <v>35</v>
      </c>
      <c r="M8" s="13" t="s">
        <v>36</v>
      </c>
      <c r="N8" s="17" t="s">
        <v>6</v>
      </c>
      <c r="O8" s="13" t="s">
        <v>37</v>
      </c>
      <c r="P8" s="18" t="s">
        <v>4</v>
      </c>
      <c r="Q8" s="13" t="s">
        <v>38</v>
      </c>
      <c r="R8" s="13" t="s">
        <v>39</v>
      </c>
    </row>
    <row r="9" customFormat="false" ht="30" hidden="false" customHeight="true" outlineLevel="0" collapsed="false">
      <c r="A9" s="19" t="s">
        <v>40</v>
      </c>
      <c r="B9" s="20" t="s">
        <v>29</v>
      </c>
      <c r="C9" s="20" t="s">
        <v>41</v>
      </c>
      <c r="D9" s="20" t="s">
        <v>42</v>
      </c>
      <c r="E9" s="20" t="s">
        <v>43</v>
      </c>
      <c r="F9" s="20" t="s">
        <v>44</v>
      </c>
      <c r="G9" s="20" t="s">
        <v>34</v>
      </c>
      <c r="H9" s="21" t="n">
        <v>4</v>
      </c>
      <c r="I9" s="21" t="n">
        <v>3</v>
      </c>
      <c r="J9" s="22" t="n">
        <f aca="false">H9*I9</f>
        <v>12</v>
      </c>
      <c r="K9" s="16" t="s">
        <v>35</v>
      </c>
      <c r="L9" s="16" t="s">
        <v>35</v>
      </c>
      <c r="M9" s="20" t="s">
        <v>45</v>
      </c>
      <c r="N9" s="18" t="s">
        <v>7</v>
      </c>
      <c r="O9" s="20" t="s">
        <v>46</v>
      </c>
      <c r="P9" s="18" t="s">
        <v>4</v>
      </c>
      <c r="Q9" s="20" t="s">
        <v>38</v>
      </c>
      <c r="R9" s="20" t="s">
        <v>47</v>
      </c>
    </row>
    <row r="10" customFormat="false" ht="30" hidden="false" customHeight="true" outlineLevel="0" collapsed="false">
      <c r="A10" s="12" t="s">
        <v>48</v>
      </c>
      <c r="B10" s="13" t="s">
        <v>29</v>
      </c>
      <c r="C10" s="13" t="s">
        <v>49</v>
      </c>
      <c r="D10" s="13" t="s">
        <v>50</v>
      </c>
      <c r="E10" s="13" t="s">
        <v>51</v>
      </c>
      <c r="F10" s="13" t="s">
        <v>52</v>
      </c>
      <c r="G10" s="13" t="s">
        <v>53</v>
      </c>
      <c r="H10" s="14" t="n">
        <v>3</v>
      </c>
      <c r="I10" s="14" t="n">
        <v>4</v>
      </c>
      <c r="J10" s="15" t="n">
        <f aca="false">H10*I10</f>
        <v>12</v>
      </c>
      <c r="K10" s="16" t="s">
        <v>35</v>
      </c>
      <c r="L10" s="16" t="s">
        <v>35</v>
      </c>
      <c r="M10" s="13" t="s">
        <v>54</v>
      </c>
      <c r="N10" s="17" t="s">
        <v>6</v>
      </c>
      <c r="O10" s="13" t="s">
        <v>55</v>
      </c>
      <c r="P10" s="18" t="s">
        <v>4</v>
      </c>
      <c r="Q10" s="13" t="s">
        <v>38</v>
      </c>
      <c r="R10" s="13" t="s">
        <v>56</v>
      </c>
    </row>
    <row r="11" customFormat="false" ht="30" hidden="false" customHeight="true" outlineLevel="0" collapsed="false">
      <c r="A11" s="19" t="s">
        <v>57</v>
      </c>
      <c r="B11" s="20" t="s">
        <v>29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  <c r="H11" s="21" t="n">
        <v>3</v>
      </c>
      <c r="I11" s="21" t="n">
        <v>3</v>
      </c>
      <c r="J11" s="22" t="n">
        <f aca="false">H11*I11</f>
        <v>9</v>
      </c>
      <c r="K11" s="18" t="s">
        <v>4</v>
      </c>
      <c r="L11" s="18" t="s">
        <v>4</v>
      </c>
      <c r="M11" s="20" t="s">
        <v>63</v>
      </c>
      <c r="N11" s="18" t="s">
        <v>7</v>
      </c>
      <c r="O11" s="20" t="s">
        <v>64</v>
      </c>
      <c r="P11" s="18" t="s">
        <v>4</v>
      </c>
      <c r="Q11" s="20" t="s">
        <v>38</v>
      </c>
      <c r="R11" s="20" t="s">
        <v>65</v>
      </c>
    </row>
    <row r="12" customFormat="false" ht="30" hidden="false" customHeight="true" outlineLevel="0" collapsed="false">
      <c r="A12" s="12" t="s">
        <v>66</v>
      </c>
      <c r="B12" s="13" t="s">
        <v>29</v>
      </c>
      <c r="C12" s="13" t="s">
        <v>67</v>
      </c>
      <c r="D12" s="13" t="s">
        <v>68</v>
      </c>
      <c r="E12" s="13" t="s">
        <v>69</v>
      </c>
      <c r="F12" s="13" t="s">
        <v>70</v>
      </c>
      <c r="G12" s="13" t="s">
        <v>71</v>
      </c>
      <c r="H12" s="14" t="n">
        <v>4</v>
      </c>
      <c r="I12" s="14" t="n">
        <v>4</v>
      </c>
      <c r="J12" s="15" t="n">
        <f aca="false">H12*I12</f>
        <v>16</v>
      </c>
      <c r="K12" s="16" t="s">
        <v>35</v>
      </c>
      <c r="L12" s="16" t="s">
        <v>35</v>
      </c>
      <c r="M12" s="13" t="s">
        <v>72</v>
      </c>
      <c r="N12" s="17" t="s">
        <v>6</v>
      </c>
      <c r="O12" s="13" t="s">
        <v>73</v>
      </c>
      <c r="P12" s="18" t="s">
        <v>4</v>
      </c>
      <c r="Q12" s="13" t="s">
        <v>38</v>
      </c>
      <c r="R12" s="13" t="s">
        <v>74</v>
      </c>
    </row>
    <row r="13" customFormat="false" ht="30" hidden="false" customHeight="true" outlineLevel="0" collapsed="false">
      <c r="A13" s="23" t="s">
        <v>75</v>
      </c>
      <c r="B13" s="24" t="s">
        <v>76</v>
      </c>
      <c r="C13" s="24" t="s">
        <v>77</v>
      </c>
      <c r="D13" s="24" t="s">
        <v>78</v>
      </c>
      <c r="E13" s="24" t="s">
        <v>79</v>
      </c>
      <c r="F13" s="24" t="s">
        <v>80</v>
      </c>
      <c r="G13" s="24" t="s">
        <v>81</v>
      </c>
      <c r="H13" s="25" t="n">
        <v>4</v>
      </c>
      <c r="I13" s="25" t="n">
        <v>3</v>
      </c>
      <c r="J13" s="26" t="n">
        <f aca="false">H13*I13</f>
        <v>12</v>
      </c>
      <c r="K13" s="16" t="s">
        <v>35</v>
      </c>
      <c r="L13" s="16" t="s">
        <v>35</v>
      </c>
      <c r="M13" s="24" t="s">
        <v>82</v>
      </c>
      <c r="N13" s="18" t="s">
        <v>7</v>
      </c>
      <c r="O13" s="24" t="s">
        <v>83</v>
      </c>
      <c r="P13" s="18" t="s">
        <v>4</v>
      </c>
      <c r="Q13" s="24" t="s">
        <v>38</v>
      </c>
      <c r="R13" s="24" t="s">
        <v>84</v>
      </c>
    </row>
    <row r="14" customFormat="false" ht="30" hidden="false" customHeight="true" outlineLevel="0" collapsed="false">
      <c r="A14" s="12" t="s">
        <v>85</v>
      </c>
      <c r="B14" s="13" t="s">
        <v>76</v>
      </c>
      <c r="C14" s="13" t="s">
        <v>86</v>
      </c>
      <c r="D14" s="13" t="s">
        <v>87</v>
      </c>
      <c r="E14" s="13" t="s">
        <v>88</v>
      </c>
      <c r="F14" s="13" t="s">
        <v>80</v>
      </c>
      <c r="G14" s="13" t="s">
        <v>81</v>
      </c>
      <c r="H14" s="14" t="n">
        <v>2</v>
      </c>
      <c r="I14" s="14" t="n">
        <v>5</v>
      </c>
      <c r="J14" s="15" t="n">
        <f aca="false">H14*I14</f>
        <v>10</v>
      </c>
      <c r="K14" s="16" t="s">
        <v>35</v>
      </c>
      <c r="L14" s="16" t="s">
        <v>35</v>
      </c>
      <c r="M14" s="13" t="s">
        <v>89</v>
      </c>
      <c r="N14" s="17" t="s">
        <v>6</v>
      </c>
      <c r="O14" s="13" t="s">
        <v>90</v>
      </c>
      <c r="P14" s="18" t="s">
        <v>4</v>
      </c>
      <c r="Q14" s="13" t="s">
        <v>38</v>
      </c>
      <c r="R14" s="13" t="s">
        <v>91</v>
      </c>
    </row>
    <row r="15" customFormat="false" ht="30" hidden="false" customHeight="true" outlineLevel="0" collapsed="false">
      <c r="A15" s="23" t="s">
        <v>92</v>
      </c>
      <c r="B15" s="24" t="s">
        <v>76</v>
      </c>
      <c r="C15" s="24" t="s">
        <v>93</v>
      </c>
      <c r="D15" s="24" t="s">
        <v>94</v>
      </c>
      <c r="E15" s="24" t="s">
        <v>95</v>
      </c>
      <c r="F15" s="24" t="s">
        <v>96</v>
      </c>
      <c r="G15" s="24" t="s">
        <v>81</v>
      </c>
      <c r="H15" s="25" t="n">
        <v>3</v>
      </c>
      <c r="I15" s="25" t="n">
        <v>4</v>
      </c>
      <c r="J15" s="26" t="n">
        <f aca="false">H15*I15</f>
        <v>12</v>
      </c>
      <c r="K15" s="16" t="s">
        <v>35</v>
      </c>
      <c r="L15" s="16" t="s">
        <v>35</v>
      </c>
      <c r="M15" s="24" t="s">
        <v>97</v>
      </c>
      <c r="N15" s="17" t="s">
        <v>6</v>
      </c>
      <c r="O15" s="24" t="s">
        <v>98</v>
      </c>
      <c r="P15" s="18" t="s">
        <v>4</v>
      </c>
      <c r="Q15" s="24" t="s">
        <v>38</v>
      </c>
      <c r="R15" s="24" t="s">
        <v>99</v>
      </c>
    </row>
    <row r="16" customFormat="false" ht="30" hidden="false" customHeight="true" outlineLevel="0" collapsed="false">
      <c r="A16" s="12" t="s">
        <v>100</v>
      </c>
      <c r="B16" s="13" t="s">
        <v>76</v>
      </c>
      <c r="C16" s="13" t="s">
        <v>101</v>
      </c>
      <c r="D16" s="13" t="s">
        <v>102</v>
      </c>
      <c r="E16" s="13" t="s">
        <v>103</v>
      </c>
      <c r="F16" s="13" t="s">
        <v>80</v>
      </c>
      <c r="G16" s="13" t="s">
        <v>81</v>
      </c>
      <c r="H16" s="14" t="n">
        <v>3</v>
      </c>
      <c r="I16" s="14" t="n">
        <v>3</v>
      </c>
      <c r="J16" s="15" t="n">
        <f aca="false">H16*I16</f>
        <v>9</v>
      </c>
      <c r="K16" s="18" t="s">
        <v>4</v>
      </c>
      <c r="L16" s="18" t="s">
        <v>4</v>
      </c>
      <c r="M16" s="13" t="s">
        <v>104</v>
      </c>
      <c r="N16" s="27" t="s">
        <v>8</v>
      </c>
      <c r="O16" s="13" t="s">
        <v>105</v>
      </c>
      <c r="P16" s="28" t="s">
        <v>5</v>
      </c>
      <c r="Q16" s="13" t="s">
        <v>38</v>
      </c>
      <c r="R16" s="13" t="s">
        <v>106</v>
      </c>
    </row>
    <row r="17" customFormat="false" ht="30" hidden="false" customHeight="true" outlineLevel="0" collapsed="false">
      <c r="A17" s="23" t="s">
        <v>107</v>
      </c>
      <c r="B17" s="24" t="s">
        <v>76</v>
      </c>
      <c r="C17" s="24" t="s">
        <v>108</v>
      </c>
      <c r="D17" s="24" t="s">
        <v>109</v>
      </c>
      <c r="E17" s="24" t="s">
        <v>110</v>
      </c>
      <c r="F17" s="24" t="s">
        <v>111</v>
      </c>
      <c r="G17" s="24" t="s">
        <v>81</v>
      </c>
      <c r="H17" s="25" t="n">
        <v>2</v>
      </c>
      <c r="I17" s="25" t="n">
        <v>4</v>
      </c>
      <c r="J17" s="26" t="n">
        <f aca="false">H17*I17</f>
        <v>8</v>
      </c>
      <c r="K17" s="18" t="s">
        <v>4</v>
      </c>
      <c r="L17" s="18" t="s">
        <v>4</v>
      </c>
      <c r="M17" s="24" t="s">
        <v>112</v>
      </c>
      <c r="N17" s="18" t="s">
        <v>7</v>
      </c>
      <c r="O17" s="24" t="s">
        <v>55</v>
      </c>
      <c r="P17" s="18" t="s">
        <v>4</v>
      </c>
      <c r="Q17" s="24" t="s">
        <v>38</v>
      </c>
      <c r="R17" s="24" t="s">
        <v>113</v>
      </c>
    </row>
    <row r="18" customFormat="false" ht="30" hidden="false" customHeight="true" outlineLevel="0" collapsed="false">
      <c r="A18" s="12" t="s">
        <v>114</v>
      </c>
      <c r="B18" s="13" t="s">
        <v>115</v>
      </c>
      <c r="C18" s="13" t="s">
        <v>116</v>
      </c>
      <c r="D18" s="13" t="s">
        <v>117</v>
      </c>
      <c r="E18" s="13" t="s">
        <v>118</v>
      </c>
      <c r="F18" s="13" t="s">
        <v>119</v>
      </c>
      <c r="G18" s="13" t="s">
        <v>120</v>
      </c>
      <c r="H18" s="14" t="n">
        <v>4</v>
      </c>
      <c r="I18" s="14" t="n">
        <v>5</v>
      </c>
      <c r="J18" s="15" t="n">
        <f aca="false">H18*I18</f>
        <v>20</v>
      </c>
      <c r="K18" s="17" t="s">
        <v>121</v>
      </c>
      <c r="L18" s="17" t="s">
        <v>121</v>
      </c>
      <c r="M18" s="13" t="s">
        <v>122</v>
      </c>
      <c r="N18" s="17" t="s">
        <v>6</v>
      </c>
      <c r="O18" s="13" t="s">
        <v>90</v>
      </c>
      <c r="P18" s="18" t="s">
        <v>4</v>
      </c>
      <c r="Q18" s="13" t="s">
        <v>38</v>
      </c>
      <c r="R18" s="13" t="s">
        <v>123</v>
      </c>
    </row>
    <row r="19" customFormat="false" ht="30" hidden="false" customHeight="true" outlineLevel="0" collapsed="false">
      <c r="A19" s="29" t="s">
        <v>124</v>
      </c>
      <c r="B19" s="30" t="s">
        <v>115</v>
      </c>
      <c r="C19" s="30" t="s">
        <v>116</v>
      </c>
      <c r="D19" s="30" t="s">
        <v>125</v>
      </c>
      <c r="E19" s="30" t="s">
        <v>126</v>
      </c>
      <c r="F19" s="30" t="s">
        <v>119</v>
      </c>
      <c r="G19" s="30" t="s">
        <v>120</v>
      </c>
      <c r="H19" s="31" t="n">
        <v>3</v>
      </c>
      <c r="I19" s="31" t="n">
        <v>4</v>
      </c>
      <c r="J19" s="32" t="n">
        <f aca="false">H19*I19</f>
        <v>12</v>
      </c>
      <c r="K19" s="16" t="s">
        <v>35</v>
      </c>
      <c r="L19" s="16" t="s">
        <v>35</v>
      </c>
      <c r="M19" s="30" t="s">
        <v>127</v>
      </c>
      <c r="N19" s="18" t="s">
        <v>7</v>
      </c>
      <c r="O19" s="30" t="s">
        <v>83</v>
      </c>
      <c r="P19" s="18" t="s">
        <v>4</v>
      </c>
      <c r="Q19" s="30" t="s">
        <v>38</v>
      </c>
      <c r="R19" s="30" t="s">
        <v>128</v>
      </c>
    </row>
    <row r="20" customFormat="false" ht="30" hidden="false" customHeight="true" outlineLevel="0" collapsed="false">
      <c r="A20" s="12" t="s">
        <v>129</v>
      </c>
      <c r="B20" s="13" t="s">
        <v>115</v>
      </c>
      <c r="C20" s="13" t="s">
        <v>130</v>
      </c>
      <c r="D20" s="13" t="s">
        <v>131</v>
      </c>
      <c r="E20" s="13" t="s">
        <v>132</v>
      </c>
      <c r="F20" s="13" t="s">
        <v>70</v>
      </c>
      <c r="G20" s="13" t="s">
        <v>71</v>
      </c>
      <c r="H20" s="14" t="n">
        <v>3</v>
      </c>
      <c r="I20" s="14" t="n">
        <v>4</v>
      </c>
      <c r="J20" s="15" t="n">
        <f aca="false">H20*I20</f>
        <v>12</v>
      </c>
      <c r="K20" s="16" t="s">
        <v>35</v>
      </c>
      <c r="L20" s="16" t="s">
        <v>35</v>
      </c>
      <c r="M20" s="13" t="s">
        <v>133</v>
      </c>
      <c r="N20" s="18" t="s">
        <v>7</v>
      </c>
      <c r="O20" s="13" t="s">
        <v>134</v>
      </c>
      <c r="P20" s="18" t="s">
        <v>4</v>
      </c>
      <c r="Q20" s="13" t="s">
        <v>38</v>
      </c>
      <c r="R20" s="13" t="s">
        <v>135</v>
      </c>
    </row>
    <row r="21" customFormat="false" ht="30" hidden="false" customHeight="true" outlineLevel="0" collapsed="false">
      <c r="A21" s="29" t="s">
        <v>136</v>
      </c>
      <c r="B21" s="30" t="s">
        <v>115</v>
      </c>
      <c r="C21" s="30" t="s">
        <v>137</v>
      </c>
      <c r="D21" s="30" t="s">
        <v>138</v>
      </c>
      <c r="E21" s="30" t="s">
        <v>139</v>
      </c>
      <c r="F21" s="30" t="s">
        <v>70</v>
      </c>
      <c r="G21" s="30" t="s">
        <v>71</v>
      </c>
      <c r="H21" s="31" t="n">
        <v>3</v>
      </c>
      <c r="I21" s="31" t="n">
        <v>5</v>
      </c>
      <c r="J21" s="32" t="n">
        <f aca="false">H21*I21</f>
        <v>15</v>
      </c>
      <c r="K21" s="16" t="s">
        <v>35</v>
      </c>
      <c r="L21" s="16" t="s">
        <v>35</v>
      </c>
      <c r="M21" s="30" t="s">
        <v>140</v>
      </c>
      <c r="N21" s="17" t="s">
        <v>6</v>
      </c>
      <c r="O21" s="30" t="s">
        <v>46</v>
      </c>
      <c r="P21" s="18" t="s">
        <v>4</v>
      </c>
      <c r="Q21" s="30" t="s">
        <v>38</v>
      </c>
      <c r="R21" s="30" t="s">
        <v>141</v>
      </c>
    </row>
    <row r="22" customFormat="false" ht="30" hidden="false" customHeight="true" outlineLevel="0" collapsed="false">
      <c r="A22" s="12" t="s">
        <v>142</v>
      </c>
      <c r="B22" s="13" t="s">
        <v>115</v>
      </c>
      <c r="C22" s="13" t="s">
        <v>143</v>
      </c>
      <c r="D22" s="13" t="s">
        <v>144</v>
      </c>
      <c r="E22" s="13" t="s">
        <v>145</v>
      </c>
      <c r="F22" s="13" t="s">
        <v>146</v>
      </c>
      <c r="G22" s="13" t="s">
        <v>147</v>
      </c>
      <c r="H22" s="14" t="n">
        <v>4</v>
      </c>
      <c r="I22" s="14" t="n">
        <v>4</v>
      </c>
      <c r="J22" s="15" t="n">
        <f aca="false">H22*I22</f>
        <v>16</v>
      </c>
      <c r="K22" s="16" t="s">
        <v>35</v>
      </c>
      <c r="L22" s="16" t="s">
        <v>35</v>
      </c>
      <c r="M22" s="13" t="s">
        <v>148</v>
      </c>
      <c r="N22" s="18" t="s">
        <v>7</v>
      </c>
      <c r="O22" s="13" t="s">
        <v>37</v>
      </c>
      <c r="P22" s="18" t="s">
        <v>4</v>
      </c>
      <c r="Q22" s="13" t="s">
        <v>38</v>
      </c>
      <c r="R22" s="13" t="s">
        <v>149</v>
      </c>
    </row>
    <row r="23" customFormat="false" ht="30" hidden="false" customHeight="true" outlineLevel="0" collapsed="false">
      <c r="A23" s="29" t="s">
        <v>150</v>
      </c>
      <c r="B23" s="30" t="s">
        <v>115</v>
      </c>
      <c r="C23" s="30" t="s">
        <v>151</v>
      </c>
      <c r="D23" s="30" t="s">
        <v>152</v>
      </c>
      <c r="E23" s="30" t="s">
        <v>153</v>
      </c>
      <c r="F23" s="30" t="s">
        <v>70</v>
      </c>
      <c r="G23" s="30" t="s">
        <v>71</v>
      </c>
      <c r="H23" s="31" t="n">
        <v>3</v>
      </c>
      <c r="I23" s="31" t="n">
        <v>4</v>
      </c>
      <c r="J23" s="32" t="n">
        <f aca="false">H23*I23</f>
        <v>12</v>
      </c>
      <c r="K23" s="16" t="s">
        <v>35</v>
      </c>
      <c r="L23" s="16" t="s">
        <v>35</v>
      </c>
      <c r="M23" s="30" t="s">
        <v>154</v>
      </c>
      <c r="N23" s="17" t="s">
        <v>6</v>
      </c>
      <c r="O23" s="30" t="s">
        <v>38</v>
      </c>
      <c r="P23" s="18" t="s">
        <v>4</v>
      </c>
      <c r="Q23" s="30" t="s">
        <v>38</v>
      </c>
      <c r="R23" s="30" t="s">
        <v>155</v>
      </c>
    </row>
    <row r="24" customFormat="false" ht="30" hidden="false" customHeight="true" outlineLevel="0" collapsed="false">
      <c r="A24" s="12" t="s">
        <v>156</v>
      </c>
      <c r="B24" s="13" t="s">
        <v>115</v>
      </c>
      <c r="C24" s="13" t="s">
        <v>157</v>
      </c>
      <c r="D24" s="13" t="s">
        <v>158</v>
      </c>
      <c r="E24" s="13" t="s">
        <v>159</v>
      </c>
      <c r="F24" s="13" t="s">
        <v>160</v>
      </c>
      <c r="G24" s="13" t="s">
        <v>71</v>
      </c>
      <c r="H24" s="14" t="n">
        <v>4</v>
      </c>
      <c r="I24" s="14" t="n">
        <v>4</v>
      </c>
      <c r="J24" s="15" t="n">
        <f aca="false">H24*I24</f>
        <v>16</v>
      </c>
      <c r="K24" s="16" t="s">
        <v>35</v>
      </c>
      <c r="L24" s="16" t="s">
        <v>35</v>
      </c>
      <c r="M24" s="13" t="s">
        <v>161</v>
      </c>
      <c r="N24" s="18" t="s">
        <v>7</v>
      </c>
      <c r="O24" s="13" t="s">
        <v>46</v>
      </c>
      <c r="P24" s="18" t="s">
        <v>4</v>
      </c>
      <c r="Q24" s="13" t="s">
        <v>38</v>
      </c>
      <c r="R24" s="13" t="s">
        <v>162</v>
      </c>
    </row>
    <row r="25" customFormat="false" ht="30" hidden="false" customHeight="true" outlineLevel="0" collapsed="false">
      <c r="A25" s="29" t="s">
        <v>163</v>
      </c>
      <c r="B25" s="30" t="s">
        <v>115</v>
      </c>
      <c r="C25" s="30" t="s">
        <v>164</v>
      </c>
      <c r="D25" s="30" t="s">
        <v>165</v>
      </c>
      <c r="E25" s="30" t="s">
        <v>166</v>
      </c>
      <c r="F25" s="30" t="s">
        <v>167</v>
      </c>
      <c r="G25" s="30" t="s">
        <v>168</v>
      </c>
      <c r="H25" s="31" t="n">
        <v>3</v>
      </c>
      <c r="I25" s="31" t="n">
        <v>3</v>
      </c>
      <c r="J25" s="32" t="n">
        <f aca="false">H25*I25</f>
        <v>9</v>
      </c>
      <c r="K25" s="18" t="s">
        <v>4</v>
      </c>
      <c r="L25" s="18" t="s">
        <v>4</v>
      </c>
      <c r="M25" s="30" t="s">
        <v>169</v>
      </c>
      <c r="N25" s="17" t="s">
        <v>6</v>
      </c>
      <c r="O25" s="30" t="s">
        <v>55</v>
      </c>
      <c r="P25" s="18" t="s">
        <v>4</v>
      </c>
      <c r="Q25" s="30" t="s">
        <v>38</v>
      </c>
      <c r="R25" s="30" t="s">
        <v>170</v>
      </c>
    </row>
    <row r="26" customFormat="false" ht="30" hidden="false" customHeight="true" outlineLevel="0" collapsed="false">
      <c r="A26" s="12" t="s">
        <v>171</v>
      </c>
      <c r="B26" s="13" t="s">
        <v>172</v>
      </c>
      <c r="C26" s="13" t="s">
        <v>173</v>
      </c>
      <c r="D26" s="13" t="s">
        <v>174</v>
      </c>
      <c r="E26" s="13" t="s">
        <v>175</v>
      </c>
      <c r="F26" s="13" t="s">
        <v>176</v>
      </c>
      <c r="G26" s="13" t="s">
        <v>177</v>
      </c>
      <c r="H26" s="14" t="n">
        <v>3</v>
      </c>
      <c r="I26" s="14" t="n">
        <v>5</v>
      </c>
      <c r="J26" s="15" t="n">
        <f aca="false">H26*I26</f>
        <v>15</v>
      </c>
      <c r="K26" s="16" t="s">
        <v>35</v>
      </c>
      <c r="L26" s="16" t="s">
        <v>35</v>
      </c>
      <c r="M26" s="13" t="s">
        <v>178</v>
      </c>
      <c r="N26" s="18" t="s">
        <v>7</v>
      </c>
      <c r="O26" s="13" t="s">
        <v>37</v>
      </c>
      <c r="P26" s="18" t="s">
        <v>4</v>
      </c>
      <c r="Q26" s="13" t="s">
        <v>38</v>
      </c>
      <c r="R26" s="13" t="s">
        <v>179</v>
      </c>
    </row>
    <row r="27" customFormat="false" ht="30" hidden="false" customHeight="true" outlineLevel="0" collapsed="false">
      <c r="A27" s="33" t="s">
        <v>180</v>
      </c>
      <c r="B27" s="34" t="s">
        <v>172</v>
      </c>
      <c r="C27" s="34" t="s">
        <v>173</v>
      </c>
      <c r="D27" s="34" t="s">
        <v>181</v>
      </c>
      <c r="E27" s="34" t="s">
        <v>182</v>
      </c>
      <c r="F27" s="34" t="s">
        <v>183</v>
      </c>
      <c r="G27" s="34" t="s">
        <v>62</v>
      </c>
      <c r="H27" s="35" t="n">
        <v>2</v>
      </c>
      <c r="I27" s="35" t="n">
        <v>4</v>
      </c>
      <c r="J27" s="36" t="n">
        <f aca="false">H27*I27</f>
        <v>8</v>
      </c>
      <c r="K27" s="18" t="s">
        <v>4</v>
      </c>
      <c r="L27" s="18" t="s">
        <v>4</v>
      </c>
      <c r="M27" s="34" t="s">
        <v>184</v>
      </c>
      <c r="N27" s="17" t="s">
        <v>6</v>
      </c>
      <c r="O27" s="34" t="s">
        <v>185</v>
      </c>
      <c r="P27" s="18" t="s">
        <v>4</v>
      </c>
      <c r="Q27" s="34" t="s">
        <v>38</v>
      </c>
      <c r="R27" s="34" t="s">
        <v>186</v>
      </c>
    </row>
    <row r="28" customFormat="false" ht="30" hidden="false" customHeight="true" outlineLevel="0" collapsed="false">
      <c r="A28" s="12" t="s">
        <v>187</v>
      </c>
      <c r="B28" s="13" t="s">
        <v>172</v>
      </c>
      <c r="C28" s="13" t="s">
        <v>188</v>
      </c>
      <c r="D28" s="13" t="s">
        <v>189</v>
      </c>
      <c r="E28" s="13" t="s">
        <v>190</v>
      </c>
      <c r="F28" s="13" t="s">
        <v>191</v>
      </c>
      <c r="G28" s="13" t="s">
        <v>177</v>
      </c>
      <c r="H28" s="14" t="n">
        <v>3</v>
      </c>
      <c r="I28" s="14" t="n">
        <v>3</v>
      </c>
      <c r="J28" s="15" t="n">
        <f aca="false">H28*I28</f>
        <v>9</v>
      </c>
      <c r="K28" s="18" t="s">
        <v>4</v>
      </c>
      <c r="L28" s="18" t="s">
        <v>4</v>
      </c>
      <c r="M28" s="13" t="s">
        <v>192</v>
      </c>
      <c r="N28" s="18" t="s">
        <v>7</v>
      </c>
      <c r="O28" s="13" t="s">
        <v>46</v>
      </c>
      <c r="P28" s="18" t="s">
        <v>4</v>
      </c>
      <c r="Q28" s="13" t="s">
        <v>38</v>
      </c>
      <c r="R28" s="13" t="s">
        <v>193</v>
      </c>
    </row>
    <row r="29" customFormat="false" ht="30" hidden="false" customHeight="true" outlineLevel="0" collapsed="false">
      <c r="A29" s="33" t="s">
        <v>194</v>
      </c>
      <c r="B29" s="34" t="s">
        <v>172</v>
      </c>
      <c r="C29" s="34" t="s">
        <v>195</v>
      </c>
      <c r="D29" s="34" t="s">
        <v>196</v>
      </c>
      <c r="E29" s="34" t="s">
        <v>197</v>
      </c>
      <c r="F29" s="34" t="s">
        <v>198</v>
      </c>
      <c r="G29" s="34" t="s">
        <v>177</v>
      </c>
      <c r="H29" s="35" t="n">
        <v>2</v>
      </c>
      <c r="I29" s="35" t="n">
        <v>4</v>
      </c>
      <c r="J29" s="36" t="n">
        <f aca="false">H29*I29</f>
        <v>8</v>
      </c>
      <c r="K29" s="18" t="s">
        <v>4</v>
      </c>
      <c r="L29" s="18" t="s">
        <v>4</v>
      </c>
      <c r="M29" s="34" t="s">
        <v>199</v>
      </c>
      <c r="N29" s="17" t="s">
        <v>6</v>
      </c>
      <c r="O29" s="34" t="s">
        <v>134</v>
      </c>
      <c r="P29" s="18" t="s">
        <v>4</v>
      </c>
      <c r="Q29" s="34" t="s">
        <v>38</v>
      </c>
      <c r="R29" s="34" t="s">
        <v>200</v>
      </c>
    </row>
    <row r="30" customFormat="false" ht="30" hidden="false" customHeight="true" outlineLevel="0" collapsed="false">
      <c r="A30" s="12" t="s">
        <v>201</v>
      </c>
      <c r="B30" s="13" t="s">
        <v>172</v>
      </c>
      <c r="C30" s="13" t="s">
        <v>202</v>
      </c>
      <c r="D30" s="13" t="s">
        <v>203</v>
      </c>
      <c r="E30" s="13" t="s">
        <v>204</v>
      </c>
      <c r="F30" s="13" t="s">
        <v>70</v>
      </c>
      <c r="G30" s="13" t="s">
        <v>71</v>
      </c>
      <c r="H30" s="14" t="n">
        <v>3</v>
      </c>
      <c r="I30" s="14" t="n">
        <v>3</v>
      </c>
      <c r="J30" s="15" t="n">
        <f aca="false">H30*I30</f>
        <v>9</v>
      </c>
      <c r="K30" s="18" t="s">
        <v>4</v>
      </c>
      <c r="L30" s="18" t="s">
        <v>4</v>
      </c>
      <c r="M30" s="13" t="s">
        <v>205</v>
      </c>
      <c r="N30" s="18" t="s">
        <v>7</v>
      </c>
      <c r="O30" s="13" t="s">
        <v>37</v>
      </c>
      <c r="P30" s="18" t="s">
        <v>4</v>
      </c>
      <c r="Q30" s="13" t="s">
        <v>38</v>
      </c>
      <c r="R30" s="13" t="s">
        <v>206</v>
      </c>
    </row>
    <row r="31" customFormat="false" ht="30" hidden="false" customHeight="true" outlineLevel="0" collapsed="false">
      <c r="A31" s="37" t="s">
        <v>207</v>
      </c>
      <c r="B31" s="38" t="s">
        <v>208</v>
      </c>
      <c r="C31" s="38" t="s">
        <v>209</v>
      </c>
      <c r="D31" s="38" t="s">
        <v>210</v>
      </c>
      <c r="E31" s="38" t="s">
        <v>211</v>
      </c>
      <c r="F31" s="38" t="s">
        <v>212</v>
      </c>
      <c r="G31" s="38" t="s">
        <v>213</v>
      </c>
      <c r="H31" s="39" t="n">
        <v>3</v>
      </c>
      <c r="I31" s="39" t="n">
        <v>4</v>
      </c>
      <c r="J31" s="40" t="n">
        <f aca="false">H31*I31</f>
        <v>12</v>
      </c>
      <c r="K31" s="16" t="s">
        <v>35</v>
      </c>
      <c r="L31" s="16" t="s">
        <v>35</v>
      </c>
      <c r="M31" s="38" t="s">
        <v>214</v>
      </c>
      <c r="N31" s="17" t="s">
        <v>6</v>
      </c>
      <c r="O31" s="38" t="s">
        <v>55</v>
      </c>
      <c r="P31" s="18" t="s">
        <v>4</v>
      </c>
      <c r="Q31" s="38" t="s">
        <v>38</v>
      </c>
      <c r="R31" s="38" t="s">
        <v>215</v>
      </c>
    </row>
    <row r="32" customFormat="false" ht="30" hidden="false" customHeight="true" outlineLevel="0" collapsed="false">
      <c r="A32" s="12" t="s">
        <v>216</v>
      </c>
      <c r="B32" s="13" t="s">
        <v>208</v>
      </c>
      <c r="C32" s="13" t="s">
        <v>217</v>
      </c>
      <c r="D32" s="13" t="s">
        <v>218</v>
      </c>
      <c r="E32" s="13" t="s">
        <v>219</v>
      </c>
      <c r="F32" s="13" t="s">
        <v>212</v>
      </c>
      <c r="G32" s="13" t="s">
        <v>213</v>
      </c>
      <c r="H32" s="14" t="n">
        <v>3</v>
      </c>
      <c r="I32" s="14" t="n">
        <v>4</v>
      </c>
      <c r="J32" s="15" t="n">
        <f aca="false">H32*I32</f>
        <v>12</v>
      </c>
      <c r="K32" s="16" t="s">
        <v>35</v>
      </c>
      <c r="L32" s="16" t="s">
        <v>35</v>
      </c>
      <c r="M32" s="13" t="s">
        <v>220</v>
      </c>
      <c r="N32" s="17" t="s">
        <v>6</v>
      </c>
      <c r="O32" s="13" t="s">
        <v>221</v>
      </c>
      <c r="P32" s="18" t="s">
        <v>4</v>
      </c>
      <c r="Q32" s="13" t="s">
        <v>38</v>
      </c>
      <c r="R32" s="13" t="s">
        <v>222</v>
      </c>
    </row>
    <row r="33" customFormat="false" ht="30" hidden="false" customHeight="true" outlineLevel="0" collapsed="false">
      <c r="A33" s="37" t="s">
        <v>223</v>
      </c>
      <c r="B33" s="38" t="s">
        <v>208</v>
      </c>
      <c r="C33" s="38" t="s">
        <v>224</v>
      </c>
      <c r="D33" s="38" t="s">
        <v>225</v>
      </c>
      <c r="E33" s="38" t="s">
        <v>226</v>
      </c>
      <c r="F33" s="38" t="s">
        <v>146</v>
      </c>
      <c r="G33" s="38" t="s">
        <v>227</v>
      </c>
      <c r="H33" s="39" t="n">
        <v>4</v>
      </c>
      <c r="I33" s="39" t="n">
        <v>3</v>
      </c>
      <c r="J33" s="40" t="n">
        <f aca="false">H33*I33</f>
        <v>12</v>
      </c>
      <c r="K33" s="16" t="s">
        <v>35</v>
      </c>
      <c r="L33" s="16" t="s">
        <v>35</v>
      </c>
      <c r="M33" s="38" t="s">
        <v>228</v>
      </c>
      <c r="N33" s="18" t="s">
        <v>7</v>
      </c>
      <c r="O33" s="38" t="s">
        <v>55</v>
      </c>
      <c r="P33" s="18" t="s">
        <v>4</v>
      </c>
      <c r="Q33" s="38" t="s">
        <v>38</v>
      </c>
      <c r="R33" s="38" t="s">
        <v>229</v>
      </c>
    </row>
    <row r="34" customFormat="false" ht="30" hidden="false" customHeight="true" outlineLevel="0" collapsed="false">
      <c r="A34" s="12" t="s">
        <v>230</v>
      </c>
      <c r="B34" s="13" t="s">
        <v>208</v>
      </c>
      <c r="C34" s="13" t="s">
        <v>231</v>
      </c>
      <c r="D34" s="13" t="s">
        <v>232</v>
      </c>
      <c r="E34" s="13" t="s">
        <v>233</v>
      </c>
      <c r="F34" s="13" t="s">
        <v>234</v>
      </c>
      <c r="G34" s="13" t="s">
        <v>235</v>
      </c>
      <c r="H34" s="14" t="n">
        <v>4</v>
      </c>
      <c r="I34" s="14" t="n">
        <v>4</v>
      </c>
      <c r="J34" s="15" t="n">
        <f aca="false">H34*I34</f>
        <v>16</v>
      </c>
      <c r="K34" s="16" t="s">
        <v>35</v>
      </c>
      <c r="L34" s="16" t="s">
        <v>35</v>
      </c>
      <c r="M34" s="13" t="s">
        <v>236</v>
      </c>
      <c r="N34" s="17" t="s">
        <v>6</v>
      </c>
      <c r="O34" s="13" t="s">
        <v>221</v>
      </c>
      <c r="P34" s="18" t="s">
        <v>4</v>
      </c>
      <c r="Q34" s="13" t="s">
        <v>38</v>
      </c>
      <c r="R34" s="13" t="s">
        <v>237</v>
      </c>
    </row>
    <row r="35" customFormat="false" ht="30" hidden="false" customHeight="true" outlineLevel="0" collapsed="false">
      <c r="A35" s="37" t="s">
        <v>238</v>
      </c>
      <c r="B35" s="38" t="s">
        <v>208</v>
      </c>
      <c r="C35" s="38" t="s">
        <v>239</v>
      </c>
      <c r="D35" s="38" t="s">
        <v>240</v>
      </c>
      <c r="E35" s="38" t="s">
        <v>241</v>
      </c>
      <c r="F35" s="38" t="s">
        <v>242</v>
      </c>
      <c r="G35" s="38" t="s">
        <v>243</v>
      </c>
      <c r="H35" s="39" t="n">
        <v>3</v>
      </c>
      <c r="I35" s="39" t="n">
        <v>4</v>
      </c>
      <c r="J35" s="40" t="n">
        <f aca="false">H35*I35</f>
        <v>12</v>
      </c>
      <c r="K35" s="16" t="s">
        <v>35</v>
      </c>
      <c r="L35" s="16" t="s">
        <v>35</v>
      </c>
      <c r="M35" s="38" t="s">
        <v>244</v>
      </c>
      <c r="N35" s="17" t="s">
        <v>6</v>
      </c>
      <c r="O35" s="38" t="s">
        <v>37</v>
      </c>
      <c r="P35" s="18" t="s">
        <v>4</v>
      </c>
      <c r="Q35" s="38" t="s">
        <v>38</v>
      </c>
      <c r="R35" s="38" t="s">
        <v>245</v>
      </c>
    </row>
    <row r="36" customFormat="false" ht="30" hidden="false" customHeight="true" outlineLevel="0" collapsed="false">
      <c r="A36" s="12" t="s">
        <v>246</v>
      </c>
      <c r="B36" s="13" t="s">
        <v>247</v>
      </c>
      <c r="C36" s="13" t="s">
        <v>248</v>
      </c>
      <c r="D36" s="13" t="s">
        <v>249</v>
      </c>
      <c r="E36" s="13" t="s">
        <v>250</v>
      </c>
      <c r="F36" s="13" t="s">
        <v>183</v>
      </c>
      <c r="G36" s="13" t="s">
        <v>62</v>
      </c>
      <c r="H36" s="14" t="n">
        <v>4</v>
      </c>
      <c r="I36" s="14" t="n">
        <v>4</v>
      </c>
      <c r="J36" s="15" t="n">
        <f aca="false">H36*I36</f>
        <v>16</v>
      </c>
      <c r="K36" s="16" t="s">
        <v>35</v>
      </c>
      <c r="L36" s="16" t="s">
        <v>35</v>
      </c>
      <c r="M36" s="13" t="s">
        <v>251</v>
      </c>
      <c r="N36" s="18" t="s">
        <v>7</v>
      </c>
      <c r="O36" s="13" t="s">
        <v>55</v>
      </c>
      <c r="P36" s="18" t="s">
        <v>4</v>
      </c>
      <c r="Q36" s="13" t="s">
        <v>38</v>
      </c>
      <c r="R36" s="13" t="s">
        <v>252</v>
      </c>
    </row>
    <row r="37" customFormat="false" ht="30" hidden="false" customHeight="true" outlineLevel="0" collapsed="false">
      <c r="A37" s="41" t="s">
        <v>253</v>
      </c>
      <c r="B37" s="42" t="s">
        <v>247</v>
      </c>
      <c r="C37" s="42" t="s">
        <v>248</v>
      </c>
      <c r="D37" s="42" t="s">
        <v>254</v>
      </c>
      <c r="E37" s="42" t="s">
        <v>255</v>
      </c>
      <c r="F37" s="42" t="s">
        <v>183</v>
      </c>
      <c r="G37" s="42" t="s">
        <v>62</v>
      </c>
      <c r="H37" s="43" t="n">
        <v>4</v>
      </c>
      <c r="I37" s="43" t="n">
        <v>3</v>
      </c>
      <c r="J37" s="44" t="n">
        <f aca="false">H37*I37</f>
        <v>12</v>
      </c>
      <c r="K37" s="16" t="s">
        <v>35</v>
      </c>
      <c r="L37" s="16" t="s">
        <v>35</v>
      </c>
      <c r="M37" s="42" t="s">
        <v>256</v>
      </c>
      <c r="N37" s="17" t="s">
        <v>6</v>
      </c>
      <c r="O37" s="42" t="s">
        <v>37</v>
      </c>
      <c r="P37" s="18" t="s">
        <v>4</v>
      </c>
      <c r="Q37" s="42" t="s">
        <v>38</v>
      </c>
      <c r="R37" s="42" t="s">
        <v>257</v>
      </c>
    </row>
    <row r="38" customFormat="false" ht="30" hidden="false" customHeight="true" outlineLevel="0" collapsed="false">
      <c r="A38" s="12" t="s">
        <v>258</v>
      </c>
      <c r="B38" s="13" t="s">
        <v>247</v>
      </c>
      <c r="C38" s="13" t="s">
        <v>259</v>
      </c>
      <c r="D38" s="13" t="s">
        <v>260</v>
      </c>
      <c r="E38" s="13" t="s">
        <v>261</v>
      </c>
      <c r="F38" s="13" t="s">
        <v>183</v>
      </c>
      <c r="G38" s="13" t="s">
        <v>62</v>
      </c>
      <c r="H38" s="14" t="n">
        <v>2</v>
      </c>
      <c r="I38" s="14" t="n">
        <v>4</v>
      </c>
      <c r="J38" s="15" t="n">
        <f aca="false">H38*I38</f>
        <v>8</v>
      </c>
      <c r="K38" s="18" t="s">
        <v>4</v>
      </c>
      <c r="L38" s="18" t="s">
        <v>4</v>
      </c>
      <c r="M38" s="13" t="s">
        <v>262</v>
      </c>
      <c r="N38" s="18" t="s">
        <v>7</v>
      </c>
      <c r="O38" s="13" t="s">
        <v>134</v>
      </c>
      <c r="P38" s="18" t="s">
        <v>4</v>
      </c>
      <c r="Q38" s="13" t="s">
        <v>38</v>
      </c>
      <c r="R38" s="13" t="s">
        <v>263</v>
      </c>
    </row>
    <row r="39" customFormat="false" ht="30" hidden="false" customHeight="true" outlineLevel="0" collapsed="false">
      <c r="A39" s="41" t="s">
        <v>264</v>
      </c>
      <c r="B39" s="42" t="s">
        <v>247</v>
      </c>
      <c r="C39" s="42" t="s">
        <v>265</v>
      </c>
      <c r="D39" s="42" t="s">
        <v>266</v>
      </c>
      <c r="E39" s="42" t="s">
        <v>267</v>
      </c>
      <c r="F39" s="42" t="s">
        <v>268</v>
      </c>
      <c r="G39" s="42" t="s">
        <v>269</v>
      </c>
      <c r="H39" s="43" t="n">
        <v>2</v>
      </c>
      <c r="I39" s="43" t="n">
        <v>4</v>
      </c>
      <c r="J39" s="44" t="n">
        <f aca="false">H39*I39</f>
        <v>8</v>
      </c>
      <c r="K39" s="18" t="s">
        <v>4</v>
      </c>
      <c r="L39" s="18" t="s">
        <v>4</v>
      </c>
      <c r="M39" s="42" t="s">
        <v>270</v>
      </c>
      <c r="N39" s="27" t="s">
        <v>8</v>
      </c>
      <c r="O39" s="42" t="s">
        <v>271</v>
      </c>
      <c r="P39" s="28" t="s">
        <v>5</v>
      </c>
      <c r="Q39" s="42" t="s">
        <v>38</v>
      </c>
      <c r="R39" s="42" t="s">
        <v>272</v>
      </c>
    </row>
    <row r="40" customFormat="false" ht="30" hidden="false" customHeight="true" outlineLevel="0" collapsed="false">
      <c r="A40" s="12" t="s">
        <v>273</v>
      </c>
      <c r="B40" s="13" t="s">
        <v>247</v>
      </c>
      <c r="C40" s="13" t="s">
        <v>274</v>
      </c>
      <c r="D40" s="13" t="s">
        <v>275</v>
      </c>
      <c r="E40" s="13" t="s">
        <v>276</v>
      </c>
      <c r="F40" s="13" t="s">
        <v>119</v>
      </c>
      <c r="G40" s="13" t="s">
        <v>120</v>
      </c>
      <c r="H40" s="14" t="n">
        <v>4</v>
      </c>
      <c r="I40" s="14" t="n">
        <v>3</v>
      </c>
      <c r="J40" s="15" t="n">
        <f aca="false">H40*I40</f>
        <v>12</v>
      </c>
      <c r="K40" s="16" t="s">
        <v>35</v>
      </c>
      <c r="L40" s="16" t="s">
        <v>35</v>
      </c>
      <c r="M40" s="13" t="s">
        <v>277</v>
      </c>
      <c r="N40" s="27" t="s">
        <v>8</v>
      </c>
      <c r="O40" s="13" t="s">
        <v>105</v>
      </c>
      <c r="P40" s="28" t="s">
        <v>5</v>
      </c>
      <c r="Q40" s="13" t="s">
        <v>38</v>
      </c>
      <c r="R40" s="13" t="s">
        <v>278</v>
      </c>
    </row>
    <row r="41" customFormat="false" ht="30" hidden="false" customHeight="true" outlineLevel="0" collapsed="false">
      <c r="A41" s="45" t="s">
        <v>279</v>
      </c>
      <c r="B41" s="46" t="s">
        <v>280</v>
      </c>
      <c r="C41" s="46" t="s">
        <v>281</v>
      </c>
      <c r="D41" s="46" t="s">
        <v>282</v>
      </c>
      <c r="E41" s="46" t="s">
        <v>283</v>
      </c>
      <c r="F41" s="46" t="s">
        <v>268</v>
      </c>
      <c r="G41" s="46" t="s">
        <v>269</v>
      </c>
      <c r="H41" s="47" t="n">
        <v>3</v>
      </c>
      <c r="I41" s="47" t="n">
        <v>3</v>
      </c>
      <c r="J41" s="48" t="n">
        <f aca="false">H41*I41</f>
        <v>9</v>
      </c>
      <c r="K41" s="18" t="s">
        <v>4</v>
      </c>
      <c r="L41" s="18" t="s">
        <v>4</v>
      </c>
      <c r="M41" s="46" t="s">
        <v>284</v>
      </c>
      <c r="N41" s="17" t="s">
        <v>6</v>
      </c>
      <c r="O41" s="46" t="s">
        <v>285</v>
      </c>
      <c r="P41" s="18" t="s">
        <v>4</v>
      </c>
      <c r="Q41" s="46" t="s">
        <v>38</v>
      </c>
      <c r="R41" s="46" t="s">
        <v>286</v>
      </c>
    </row>
    <row r="42" customFormat="false" ht="30" hidden="false" customHeight="true" outlineLevel="0" collapsed="false">
      <c r="A42" s="12" t="s">
        <v>287</v>
      </c>
      <c r="B42" s="13" t="s">
        <v>280</v>
      </c>
      <c r="C42" s="13" t="s">
        <v>288</v>
      </c>
      <c r="D42" s="13" t="s">
        <v>289</v>
      </c>
      <c r="E42" s="13" t="s">
        <v>290</v>
      </c>
      <c r="F42" s="13" t="s">
        <v>80</v>
      </c>
      <c r="G42" s="13" t="s">
        <v>81</v>
      </c>
      <c r="H42" s="14" t="n">
        <v>3</v>
      </c>
      <c r="I42" s="14" t="n">
        <v>3</v>
      </c>
      <c r="J42" s="15" t="n">
        <f aca="false">H42*I42</f>
        <v>9</v>
      </c>
      <c r="K42" s="18" t="s">
        <v>4</v>
      </c>
      <c r="L42" s="18" t="s">
        <v>4</v>
      </c>
      <c r="M42" s="13" t="s">
        <v>291</v>
      </c>
      <c r="N42" s="18" t="s">
        <v>7</v>
      </c>
      <c r="O42" s="13" t="s">
        <v>55</v>
      </c>
      <c r="P42" s="18" t="s">
        <v>4</v>
      </c>
      <c r="Q42" s="13" t="s">
        <v>38</v>
      </c>
      <c r="R42" s="13" t="s">
        <v>292</v>
      </c>
    </row>
    <row r="43" customFormat="false" ht="30" hidden="false" customHeight="true" outlineLevel="0" collapsed="false">
      <c r="A43" s="45" t="s">
        <v>293</v>
      </c>
      <c r="B43" s="46" t="s">
        <v>280</v>
      </c>
      <c r="C43" s="46" t="s">
        <v>294</v>
      </c>
      <c r="D43" s="46" t="s">
        <v>295</v>
      </c>
      <c r="E43" s="46" t="s">
        <v>296</v>
      </c>
      <c r="F43" s="46" t="s">
        <v>268</v>
      </c>
      <c r="G43" s="46" t="s">
        <v>269</v>
      </c>
      <c r="H43" s="47" t="n">
        <v>2</v>
      </c>
      <c r="I43" s="47" t="n">
        <v>3</v>
      </c>
      <c r="J43" s="48" t="n">
        <f aca="false">H43*I43</f>
        <v>6</v>
      </c>
      <c r="K43" s="18" t="s">
        <v>4</v>
      </c>
      <c r="L43" s="18" t="s">
        <v>4</v>
      </c>
      <c r="M43" s="46" t="s">
        <v>297</v>
      </c>
      <c r="N43" s="27" t="s">
        <v>8</v>
      </c>
      <c r="O43" s="46" t="s">
        <v>298</v>
      </c>
      <c r="P43" s="28" t="s">
        <v>5</v>
      </c>
      <c r="Q43" s="46" t="s">
        <v>38</v>
      </c>
      <c r="R43" s="46" t="s">
        <v>299</v>
      </c>
    </row>
    <row r="44" customFormat="false" ht="30" hidden="false" customHeight="true" outlineLevel="0" collapsed="false">
      <c r="A44" s="12" t="s">
        <v>300</v>
      </c>
      <c r="B44" s="13" t="s">
        <v>177</v>
      </c>
      <c r="C44" s="13" t="s">
        <v>301</v>
      </c>
      <c r="D44" s="13" t="s">
        <v>302</v>
      </c>
      <c r="E44" s="13" t="s">
        <v>303</v>
      </c>
      <c r="F44" s="13" t="s">
        <v>198</v>
      </c>
      <c r="G44" s="13" t="s">
        <v>177</v>
      </c>
      <c r="H44" s="14" t="n">
        <v>3</v>
      </c>
      <c r="I44" s="14" t="n">
        <v>4</v>
      </c>
      <c r="J44" s="15" t="n">
        <f aca="false">H44*I44</f>
        <v>12</v>
      </c>
      <c r="K44" s="16" t="s">
        <v>35</v>
      </c>
      <c r="L44" s="16" t="s">
        <v>35</v>
      </c>
      <c r="M44" s="13" t="s">
        <v>304</v>
      </c>
      <c r="N44" s="18" t="s">
        <v>7</v>
      </c>
      <c r="O44" s="13" t="s">
        <v>55</v>
      </c>
      <c r="P44" s="18" t="s">
        <v>4</v>
      </c>
      <c r="Q44" s="13" t="s">
        <v>38</v>
      </c>
      <c r="R44" s="13" t="s">
        <v>305</v>
      </c>
    </row>
    <row r="45" customFormat="false" ht="30" hidden="false" customHeight="true" outlineLevel="0" collapsed="false">
      <c r="A45" s="49" t="s">
        <v>306</v>
      </c>
      <c r="B45" s="50" t="s">
        <v>177</v>
      </c>
      <c r="C45" s="50" t="s">
        <v>307</v>
      </c>
      <c r="D45" s="50" t="s">
        <v>308</v>
      </c>
      <c r="E45" s="50" t="s">
        <v>309</v>
      </c>
      <c r="F45" s="50" t="s">
        <v>198</v>
      </c>
      <c r="G45" s="50" t="s">
        <v>177</v>
      </c>
      <c r="H45" s="51" t="n">
        <v>2</v>
      </c>
      <c r="I45" s="51" t="n">
        <v>4</v>
      </c>
      <c r="J45" s="52" t="n">
        <f aca="false">H45*I45</f>
        <v>8</v>
      </c>
      <c r="K45" s="18" t="s">
        <v>4</v>
      </c>
      <c r="L45" s="18" t="s">
        <v>4</v>
      </c>
      <c r="M45" s="50" t="s">
        <v>310</v>
      </c>
      <c r="N45" s="17" t="s">
        <v>6</v>
      </c>
      <c r="O45" s="50" t="s">
        <v>55</v>
      </c>
      <c r="P45" s="18" t="s">
        <v>4</v>
      </c>
      <c r="Q45" s="50" t="s">
        <v>38</v>
      </c>
      <c r="R45" s="50" t="s">
        <v>311</v>
      </c>
    </row>
    <row r="46" customFormat="false" ht="30" hidden="false" customHeight="true" outlineLevel="0" collapsed="false">
      <c r="A46" s="12" t="s">
        <v>312</v>
      </c>
      <c r="B46" s="13" t="s">
        <v>177</v>
      </c>
      <c r="C46" s="13" t="s">
        <v>313</v>
      </c>
      <c r="D46" s="13" t="s">
        <v>314</v>
      </c>
      <c r="E46" s="13" t="s">
        <v>315</v>
      </c>
      <c r="F46" s="13" t="s">
        <v>146</v>
      </c>
      <c r="G46" s="13" t="s">
        <v>147</v>
      </c>
      <c r="H46" s="14" t="n">
        <v>2</v>
      </c>
      <c r="I46" s="14" t="n">
        <v>5</v>
      </c>
      <c r="J46" s="15" t="n">
        <f aca="false">H46*I46</f>
        <v>10</v>
      </c>
      <c r="K46" s="16" t="s">
        <v>35</v>
      </c>
      <c r="L46" s="16" t="s">
        <v>35</v>
      </c>
      <c r="M46" s="13" t="s">
        <v>316</v>
      </c>
      <c r="N46" s="17" t="s">
        <v>6</v>
      </c>
      <c r="O46" s="13" t="s">
        <v>55</v>
      </c>
      <c r="P46" s="18" t="s">
        <v>4</v>
      </c>
      <c r="Q46" s="13" t="s">
        <v>38</v>
      </c>
      <c r="R46" s="13" t="s">
        <v>317</v>
      </c>
    </row>
    <row r="47" customFormat="false" ht="30" hidden="false" customHeight="true" outlineLevel="0" collapsed="false">
      <c r="A47" s="49" t="s">
        <v>318</v>
      </c>
      <c r="B47" s="50" t="s">
        <v>177</v>
      </c>
      <c r="C47" s="50" t="s">
        <v>319</v>
      </c>
      <c r="D47" s="50" t="s">
        <v>320</v>
      </c>
      <c r="E47" s="50" t="s">
        <v>321</v>
      </c>
      <c r="F47" s="50" t="s">
        <v>176</v>
      </c>
      <c r="G47" s="50" t="s">
        <v>177</v>
      </c>
      <c r="H47" s="51" t="n">
        <v>2</v>
      </c>
      <c r="I47" s="51" t="n">
        <v>4</v>
      </c>
      <c r="J47" s="52" t="n">
        <f aca="false">H47*I47</f>
        <v>8</v>
      </c>
      <c r="K47" s="18" t="s">
        <v>4</v>
      </c>
      <c r="L47" s="18" t="s">
        <v>4</v>
      </c>
      <c r="M47" s="50" t="s">
        <v>322</v>
      </c>
      <c r="N47" s="17" t="s">
        <v>6</v>
      </c>
      <c r="O47" s="50" t="s">
        <v>37</v>
      </c>
      <c r="P47" s="18" t="s">
        <v>4</v>
      </c>
      <c r="Q47" s="50" t="s">
        <v>38</v>
      </c>
      <c r="R47" s="50" t="s">
        <v>323</v>
      </c>
    </row>
    <row r="48" customFormat="false" ht="30" hidden="false" customHeight="true" outlineLevel="0" collapsed="false">
      <c r="A48" s="12" t="s">
        <v>324</v>
      </c>
      <c r="B48" s="13" t="s">
        <v>325</v>
      </c>
      <c r="C48" s="13" t="s">
        <v>326</v>
      </c>
      <c r="D48" s="13" t="s">
        <v>327</v>
      </c>
      <c r="E48" s="13" t="s">
        <v>328</v>
      </c>
      <c r="F48" s="13" t="s">
        <v>33</v>
      </c>
      <c r="G48" s="13" t="s">
        <v>34</v>
      </c>
      <c r="H48" s="14" t="n">
        <v>3</v>
      </c>
      <c r="I48" s="14" t="n">
        <v>4</v>
      </c>
      <c r="J48" s="15" t="n">
        <f aca="false">H48*I48</f>
        <v>12</v>
      </c>
      <c r="K48" s="16" t="s">
        <v>35</v>
      </c>
      <c r="L48" s="16" t="s">
        <v>35</v>
      </c>
      <c r="M48" s="13" t="s">
        <v>329</v>
      </c>
      <c r="N48" s="18" t="s">
        <v>7</v>
      </c>
      <c r="O48" s="13" t="s">
        <v>134</v>
      </c>
      <c r="P48" s="18" t="s">
        <v>4</v>
      </c>
      <c r="Q48" s="13" t="s">
        <v>38</v>
      </c>
      <c r="R48" s="13" t="s">
        <v>330</v>
      </c>
    </row>
    <row r="49" customFormat="false" ht="30" hidden="false" customHeight="true" outlineLevel="0" collapsed="false">
      <c r="A49" s="53" t="s">
        <v>331</v>
      </c>
      <c r="B49" s="54" t="s">
        <v>325</v>
      </c>
      <c r="C49" s="54" t="s">
        <v>332</v>
      </c>
      <c r="D49" s="54" t="s">
        <v>333</v>
      </c>
      <c r="E49" s="54" t="s">
        <v>334</v>
      </c>
      <c r="F49" s="54" t="s">
        <v>33</v>
      </c>
      <c r="G49" s="54" t="s">
        <v>34</v>
      </c>
      <c r="H49" s="55" t="n">
        <v>3</v>
      </c>
      <c r="I49" s="55" t="n">
        <v>3</v>
      </c>
      <c r="J49" s="56" t="n">
        <f aca="false">H49*I49</f>
        <v>9</v>
      </c>
      <c r="K49" s="18" t="s">
        <v>4</v>
      </c>
      <c r="L49" s="18" t="s">
        <v>4</v>
      </c>
      <c r="M49" s="54" t="s">
        <v>335</v>
      </c>
      <c r="N49" s="17" t="s">
        <v>6</v>
      </c>
      <c r="O49" s="54" t="s">
        <v>55</v>
      </c>
      <c r="P49" s="18" t="s">
        <v>4</v>
      </c>
      <c r="Q49" s="54" t="s">
        <v>38</v>
      </c>
      <c r="R49" s="54" t="s">
        <v>336</v>
      </c>
    </row>
    <row r="50" customFormat="false" ht="30" hidden="false" customHeight="true" outlineLevel="0" collapsed="false">
      <c r="A50" s="12" t="s">
        <v>337</v>
      </c>
      <c r="B50" s="13" t="s">
        <v>325</v>
      </c>
      <c r="C50" s="13" t="s">
        <v>338</v>
      </c>
      <c r="D50" s="13" t="s">
        <v>339</v>
      </c>
      <c r="E50" s="13" t="s">
        <v>340</v>
      </c>
      <c r="F50" s="13" t="s">
        <v>80</v>
      </c>
      <c r="G50" s="13" t="s">
        <v>81</v>
      </c>
      <c r="H50" s="14" t="n">
        <v>3</v>
      </c>
      <c r="I50" s="14" t="n">
        <v>3</v>
      </c>
      <c r="J50" s="15" t="n">
        <f aca="false">H50*I50</f>
        <v>9</v>
      </c>
      <c r="K50" s="18" t="s">
        <v>4</v>
      </c>
      <c r="L50" s="18" t="s">
        <v>4</v>
      </c>
      <c r="M50" s="13" t="s">
        <v>341</v>
      </c>
      <c r="N50" s="17" t="s">
        <v>6</v>
      </c>
      <c r="O50" s="13" t="s">
        <v>285</v>
      </c>
      <c r="P50" s="18" t="s">
        <v>4</v>
      </c>
      <c r="Q50" s="13" t="s">
        <v>38</v>
      </c>
      <c r="R50" s="13" t="s">
        <v>342</v>
      </c>
    </row>
    <row r="51" customFormat="false" ht="30" hidden="false" customHeight="true" outlineLevel="0" collapsed="false">
      <c r="A51" s="19" t="s">
        <v>343</v>
      </c>
      <c r="B51" s="20" t="s">
        <v>29</v>
      </c>
      <c r="C51" s="20" t="s">
        <v>344</v>
      </c>
      <c r="D51" s="20" t="s">
        <v>345</v>
      </c>
      <c r="E51" s="20" t="s">
        <v>346</v>
      </c>
      <c r="F51" s="20" t="s">
        <v>33</v>
      </c>
      <c r="G51" s="20" t="s">
        <v>34</v>
      </c>
      <c r="H51" s="21" t="n">
        <v>2</v>
      </c>
      <c r="I51" s="21" t="n">
        <v>4</v>
      </c>
      <c r="J51" s="22" t="n">
        <f aca="false">H51*I51</f>
        <v>8</v>
      </c>
      <c r="K51" s="18" t="s">
        <v>4</v>
      </c>
      <c r="L51" s="18" t="s">
        <v>4</v>
      </c>
      <c r="M51" s="20" t="s">
        <v>347</v>
      </c>
      <c r="N51" s="18" t="s">
        <v>7</v>
      </c>
      <c r="O51" s="20" t="s">
        <v>55</v>
      </c>
      <c r="P51" s="18" t="s">
        <v>4</v>
      </c>
      <c r="Q51" s="20" t="s">
        <v>38</v>
      </c>
      <c r="R51" s="20" t="s">
        <v>348</v>
      </c>
    </row>
    <row r="52" customFormat="false" ht="30" hidden="false" customHeight="true" outlineLevel="0" collapsed="false">
      <c r="A52" s="12" t="s">
        <v>349</v>
      </c>
      <c r="B52" s="13" t="s">
        <v>115</v>
      </c>
      <c r="C52" s="13" t="s">
        <v>350</v>
      </c>
      <c r="D52" s="13" t="s">
        <v>351</v>
      </c>
      <c r="E52" s="13" t="s">
        <v>352</v>
      </c>
      <c r="F52" s="13" t="s">
        <v>119</v>
      </c>
      <c r="G52" s="13" t="s">
        <v>120</v>
      </c>
      <c r="H52" s="14" t="n">
        <v>3</v>
      </c>
      <c r="I52" s="14" t="n">
        <v>4</v>
      </c>
      <c r="J52" s="15" t="n">
        <f aca="false">H52*I52</f>
        <v>12</v>
      </c>
      <c r="K52" s="16" t="s">
        <v>35</v>
      </c>
      <c r="L52" s="16" t="s">
        <v>35</v>
      </c>
      <c r="M52" s="13" t="s">
        <v>353</v>
      </c>
      <c r="N52" s="17" t="s">
        <v>6</v>
      </c>
      <c r="O52" s="13" t="s">
        <v>37</v>
      </c>
      <c r="P52" s="18" t="s">
        <v>4</v>
      </c>
      <c r="Q52" s="13" t="s">
        <v>38</v>
      </c>
      <c r="R52" s="13" t="s">
        <v>354</v>
      </c>
    </row>
    <row r="53" customFormat="false" ht="30" hidden="false" customHeight="true" outlineLevel="0" collapsed="false">
      <c r="A53" s="23" t="s">
        <v>355</v>
      </c>
      <c r="B53" s="24" t="s">
        <v>76</v>
      </c>
      <c r="C53" s="24" t="s">
        <v>356</v>
      </c>
      <c r="D53" s="24" t="s">
        <v>357</v>
      </c>
      <c r="E53" s="24" t="s">
        <v>358</v>
      </c>
      <c r="F53" s="24" t="s">
        <v>80</v>
      </c>
      <c r="G53" s="24" t="s">
        <v>81</v>
      </c>
      <c r="H53" s="25" t="n">
        <v>2</v>
      </c>
      <c r="I53" s="25" t="n">
        <v>4</v>
      </c>
      <c r="J53" s="26" t="n">
        <f aca="false">H53*I53</f>
        <v>8</v>
      </c>
      <c r="K53" s="18" t="s">
        <v>4</v>
      </c>
      <c r="L53" s="18" t="s">
        <v>4</v>
      </c>
      <c r="M53" s="24" t="s">
        <v>359</v>
      </c>
      <c r="N53" s="17" t="s">
        <v>6</v>
      </c>
      <c r="O53" s="24" t="s">
        <v>134</v>
      </c>
      <c r="P53" s="18" t="s">
        <v>4</v>
      </c>
      <c r="Q53" s="24" t="s">
        <v>38</v>
      </c>
      <c r="R53" s="24" t="s">
        <v>360</v>
      </c>
    </row>
    <row r="54" customFormat="false" ht="30" hidden="false" customHeight="true" outlineLevel="0" collapsed="false">
      <c r="A54" s="12" t="s">
        <v>361</v>
      </c>
      <c r="B54" s="13" t="s">
        <v>172</v>
      </c>
      <c r="C54" s="13" t="s">
        <v>362</v>
      </c>
      <c r="D54" s="13" t="s">
        <v>363</v>
      </c>
      <c r="E54" s="13" t="s">
        <v>364</v>
      </c>
      <c r="F54" s="13" t="s">
        <v>198</v>
      </c>
      <c r="G54" s="13" t="s">
        <v>177</v>
      </c>
      <c r="H54" s="14" t="n">
        <v>2</v>
      </c>
      <c r="I54" s="14" t="n">
        <v>5</v>
      </c>
      <c r="J54" s="15" t="n">
        <f aca="false">H54*I54</f>
        <v>10</v>
      </c>
      <c r="K54" s="16" t="s">
        <v>35</v>
      </c>
      <c r="L54" s="16" t="s">
        <v>35</v>
      </c>
      <c r="M54" s="13" t="s">
        <v>365</v>
      </c>
      <c r="N54" s="18" t="s">
        <v>7</v>
      </c>
      <c r="O54" s="13" t="s">
        <v>46</v>
      </c>
      <c r="P54" s="18" t="s">
        <v>4</v>
      </c>
      <c r="Q54" s="13" t="s">
        <v>38</v>
      </c>
      <c r="R54" s="13" t="s">
        <v>366</v>
      </c>
    </row>
    <row r="55" customFormat="false" ht="30" hidden="false" customHeight="true" outlineLevel="0" collapsed="false">
      <c r="A55" s="37" t="s">
        <v>367</v>
      </c>
      <c r="B55" s="38" t="s">
        <v>208</v>
      </c>
      <c r="C55" s="38" t="s">
        <v>368</v>
      </c>
      <c r="D55" s="38" t="s">
        <v>369</v>
      </c>
      <c r="E55" s="38" t="s">
        <v>370</v>
      </c>
      <c r="F55" s="38" t="s">
        <v>212</v>
      </c>
      <c r="G55" s="38" t="s">
        <v>213</v>
      </c>
      <c r="H55" s="39" t="n">
        <v>2</v>
      </c>
      <c r="I55" s="39" t="n">
        <v>3</v>
      </c>
      <c r="J55" s="40" t="n">
        <f aca="false">H55*I55</f>
        <v>6</v>
      </c>
      <c r="K55" s="18" t="s">
        <v>4</v>
      </c>
      <c r="L55" s="18" t="s">
        <v>4</v>
      </c>
      <c r="M55" s="38" t="s">
        <v>371</v>
      </c>
      <c r="N55" s="17" t="s">
        <v>6</v>
      </c>
      <c r="O55" s="38" t="s">
        <v>221</v>
      </c>
      <c r="P55" s="18" t="s">
        <v>4</v>
      </c>
      <c r="Q55" s="38" t="s">
        <v>38</v>
      </c>
      <c r="R55" s="38" t="s">
        <v>372</v>
      </c>
    </row>
    <row r="56" customFormat="false" ht="30" hidden="false" customHeight="true" outlineLevel="0" collapsed="false">
      <c r="A56" s="12" t="s">
        <v>373</v>
      </c>
      <c r="B56" s="13" t="s">
        <v>247</v>
      </c>
      <c r="C56" s="13" t="s">
        <v>374</v>
      </c>
      <c r="D56" s="13" t="s">
        <v>375</v>
      </c>
      <c r="E56" s="13" t="s">
        <v>376</v>
      </c>
      <c r="F56" s="13" t="s">
        <v>183</v>
      </c>
      <c r="G56" s="13" t="s">
        <v>62</v>
      </c>
      <c r="H56" s="14" t="n">
        <v>3</v>
      </c>
      <c r="I56" s="14" t="n">
        <v>3</v>
      </c>
      <c r="J56" s="15" t="n">
        <f aca="false">H56*I56</f>
        <v>9</v>
      </c>
      <c r="K56" s="18" t="s">
        <v>4</v>
      </c>
      <c r="L56" s="18" t="s">
        <v>4</v>
      </c>
      <c r="M56" s="13" t="s">
        <v>377</v>
      </c>
      <c r="N56" s="18" t="s">
        <v>7</v>
      </c>
      <c r="O56" s="13" t="s">
        <v>55</v>
      </c>
      <c r="P56" s="18" t="s">
        <v>4</v>
      </c>
      <c r="Q56" s="13" t="s">
        <v>38</v>
      </c>
      <c r="R56" s="13" t="s">
        <v>378</v>
      </c>
    </row>
    <row r="57" customFormat="false" ht="30" hidden="false" customHeight="true" outlineLevel="0" collapsed="false">
      <c r="A57" s="29" t="s">
        <v>379</v>
      </c>
      <c r="B57" s="30" t="s">
        <v>115</v>
      </c>
      <c r="C57" s="30" t="s">
        <v>380</v>
      </c>
      <c r="D57" s="30" t="s">
        <v>381</v>
      </c>
      <c r="E57" s="30" t="s">
        <v>382</v>
      </c>
      <c r="F57" s="30" t="s">
        <v>146</v>
      </c>
      <c r="G57" s="30" t="s">
        <v>147</v>
      </c>
      <c r="H57" s="31" t="n">
        <v>4</v>
      </c>
      <c r="I57" s="31" t="n">
        <v>4</v>
      </c>
      <c r="J57" s="32" t="n">
        <f aca="false">H57*I57</f>
        <v>16</v>
      </c>
      <c r="K57" s="16" t="s">
        <v>35</v>
      </c>
      <c r="L57" s="16" t="s">
        <v>35</v>
      </c>
      <c r="M57" s="30" t="s">
        <v>383</v>
      </c>
      <c r="N57" s="17" t="s">
        <v>6</v>
      </c>
      <c r="O57" s="30" t="s">
        <v>37</v>
      </c>
      <c r="P57" s="18" t="s">
        <v>4</v>
      </c>
      <c r="Q57" s="30" t="s">
        <v>38</v>
      </c>
      <c r="R57" s="30" t="s">
        <v>384</v>
      </c>
    </row>
    <row r="58" customFormat="false" ht="30" hidden="false" customHeight="true" outlineLevel="0" collapsed="false">
      <c r="A58" s="12" t="s">
        <v>385</v>
      </c>
      <c r="B58" s="13" t="s">
        <v>29</v>
      </c>
      <c r="C58" s="13" t="s">
        <v>269</v>
      </c>
      <c r="D58" s="13" t="s">
        <v>386</v>
      </c>
      <c r="E58" s="13" t="s">
        <v>387</v>
      </c>
      <c r="F58" s="13" t="s">
        <v>268</v>
      </c>
      <c r="G58" s="13" t="s">
        <v>269</v>
      </c>
      <c r="H58" s="14" t="n">
        <v>2</v>
      </c>
      <c r="I58" s="14" t="n">
        <v>4</v>
      </c>
      <c r="J58" s="15" t="n">
        <f aca="false">H58*I58</f>
        <v>8</v>
      </c>
      <c r="K58" s="18" t="s">
        <v>4</v>
      </c>
      <c r="L58" s="18" t="s">
        <v>4</v>
      </c>
      <c r="M58" s="13" t="s">
        <v>388</v>
      </c>
      <c r="N58" s="27" t="s">
        <v>8</v>
      </c>
      <c r="O58" s="13" t="s">
        <v>389</v>
      </c>
      <c r="P58" s="28" t="s">
        <v>5</v>
      </c>
      <c r="Q58" s="13" t="s">
        <v>38</v>
      </c>
      <c r="R58" s="13" t="s">
        <v>390</v>
      </c>
    </row>
  </sheetData>
  <mergeCells count="18">
    <mergeCell ref="A1:R1"/>
    <mergeCell ref="A2:R2"/>
    <mergeCell ref="A4:B4"/>
    <mergeCell ref="C4:D4"/>
    <mergeCell ref="E4:F4"/>
    <mergeCell ref="G4:H4"/>
    <mergeCell ref="I4:J4"/>
    <mergeCell ref="K4:L4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31.5" hidden="false" customHeight="true" outlineLevel="0" collapsed="false">
      <c r="A1" s="57" t="s">
        <v>391</v>
      </c>
      <c r="B1" s="57"/>
      <c r="C1" s="57"/>
      <c r="D1" s="57"/>
      <c r="E1" s="57"/>
      <c r="F1" s="57"/>
      <c r="G1" s="57"/>
    </row>
    <row r="2" customFormat="false" ht="19.5" hidden="false" customHeight="true" outlineLevel="0" collapsed="false">
      <c r="A2" s="58" t="s">
        <v>392</v>
      </c>
      <c r="B2" s="58"/>
      <c r="C2" s="58"/>
      <c r="D2" s="58"/>
      <c r="E2" s="58"/>
      <c r="F2" s="58"/>
      <c r="G2" s="58"/>
    </row>
    <row r="3" customFormat="false" ht="9.75" hidden="false" customHeight="true" outlineLevel="0" collapsed="false"/>
    <row r="4" customFormat="false" ht="39.75" hidden="false" customHeight="true" outlineLevel="0" collapsed="false">
      <c r="A4" s="11"/>
      <c r="B4" s="11" t="s">
        <v>393</v>
      </c>
      <c r="C4" s="11" t="s">
        <v>394</v>
      </c>
      <c r="D4" s="11" t="s">
        <v>395</v>
      </c>
      <c r="E4" s="11" t="s">
        <v>396</v>
      </c>
      <c r="F4" s="11" t="s">
        <v>397</v>
      </c>
    </row>
    <row r="5" customFormat="false" ht="37.5" hidden="false" customHeight="true" outlineLevel="0" collapsed="false">
      <c r="A5" s="11" t="s">
        <v>398</v>
      </c>
      <c r="B5" s="59" t="n">
        <v>5</v>
      </c>
      <c r="C5" s="60" t="n">
        <v>10</v>
      </c>
      <c r="D5" s="61" t="n">
        <v>15</v>
      </c>
      <c r="E5" s="61" t="n">
        <v>20</v>
      </c>
      <c r="F5" s="61" t="n">
        <v>25</v>
      </c>
    </row>
    <row r="6" customFormat="false" ht="37.5" hidden="false" customHeight="true" outlineLevel="0" collapsed="false">
      <c r="A6" s="11" t="s">
        <v>399</v>
      </c>
      <c r="B6" s="62" t="n">
        <v>4</v>
      </c>
      <c r="C6" s="59" t="n">
        <v>8</v>
      </c>
      <c r="D6" s="59" t="n">
        <v>12</v>
      </c>
      <c r="E6" s="60" t="n">
        <v>16</v>
      </c>
      <c r="F6" s="61" t="n">
        <v>20</v>
      </c>
    </row>
    <row r="7" customFormat="false" ht="37.5" hidden="false" customHeight="true" outlineLevel="0" collapsed="false">
      <c r="A7" s="11" t="s">
        <v>400</v>
      </c>
      <c r="B7" s="62" t="n">
        <v>3</v>
      </c>
      <c r="C7" s="62" t="n">
        <v>6</v>
      </c>
      <c r="D7" s="59" t="n">
        <v>9</v>
      </c>
      <c r="E7" s="59" t="n">
        <v>12</v>
      </c>
      <c r="F7" s="60" t="n">
        <v>15</v>
      </c>
    </row>
    <row r="8" customFormat="false" ht="37.5" hidden="false" customHeight="true" outlineLevel="0" collapsed="false">
      <c r="A8" s="11" t="s">
        <v>401</v>
      </c>
      <c r="B8" s="62" t="n">
        <v>2</v>
      </c>
      <c r="C8" s="62" t="n">
        <v>4</v>
      </c>
      <c r="D8" s="62" t="n">
        <v>6</v>
      </c>
      <c r="E8" s="59" t="n">
        <v>8</v>
      </c>
      <c r="F8" s="59" t="n">
        <v>10</v>
      </c>
    </row>
    <row r="9" customFormat="false" ht="37.5" hidden="false" customHeight="true" outlineLevel="0" collapsed="false">
      <c r="A9" s="11" t="s">
        <v>402</v>
      </c>
      <c r="B9" s="62" t="n">
        <v>1</v>
      </c>
      <c r="C9" s="62" t="n">
        <v>2</v>
      </c>
      <c r="D9" s="62" t="n">
        <v>3</v>
      </c>
      <c r="E9" s="62" t="n">
        <v>4</v>
      </c>
      <c r="F9" s="59" t="n">
        <v>5</v>
      </c>
    </row>
    <row r="11" customFormat="false" ht="9.75" hidden="false" customHeight="true" outlineLevel="0" collapsed="false">
      <c r="A11" s="63"/>
      <c r="B11" s="63"/>
      <c r="C11" s="63"/>
      <c r="D11" s="63"/>
      <c r="E11" s="63"/>
      <c r="F11" s="63"/>
      <c r="G11" s="63"/>
    </row>
    <row r="12" customFormat="false" ht="24" hidden="false" customHeight="true" outlineLevel="0" collapsed="false">
      <c r="A12" s="64" t="s">
        <v>403</v>
      </c>
      <c r="B12" s="64"/>
      <c r="C12" s="63"/>
      <c r="D12" s="63"/>
      <c r="E12" s="63"/>
      <c r="F12" s="63"/>
      <c r="G12" s="63"/>
    </row>
    <row r="13" customFormat="false" ht="24" hidden="false" customHeight="true" outlineLevel="0" collapsed="false">
      <c r="A13" s="65" t="s">
        <v>404</v>
      </c>
      <c r="B13" s="65"/>
      <c r="C13" s="63"/>
      <c r="D13" s="63"/>
      <c r="E13" s="63"/>
      <c r="F13" s="63"/>
      <c r="G13" s="63"/>
    </row>
    <row r="14" customFormat="false" ht="24" hidden="false" customHeight="true" outlineLevel="0" collapsed="false">
      <c r="A14" s="66" t="s">
        <v>405</v>
      </c>
      <c r="B14" s="66"/>
      <c r="C14" s="63"/>
      <c r="D14" s="63"/>
      <c r="E14" s="63"/>
      <c r="F14" s="63"/>
      <c r="G14" s="63"/>
    </row>
  </sheetData>
  <mergeCells count="9">
    <mergeCell ref="A1:G1"/>
    <mergeCell ref="A2:G2"/>
    <mergeCell ref="A11:G11"/>
    <mergeCell ref="A12:B12"/>
    <mergeCell ref="C12:G12"/>
    <mergeCell ref="A13:B13"/>
    <mergeCell ref="C13:G13"/>
    <mergeCell ref="A14:B14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8A7A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0"/>
    <col collapsed="false" customWidth="true" hidden="false" outlineLevel="0" max="5" min="4" style="0" width="15"/>
  </cols>
  <sheetData>
    <row r="1" customFormat="false" ht="31.5" hidden="false" customHeight="true" outlineLevel="0" collapsed="false">
      <c r="A1" s="57" t="s">
        <v>406</v>
      </c>
      <c r="B1" s="57"/>
      <c r="C1" s="57"/>
      <c r="D1" s="57"/>
      <c r="E1" s="57"/>
    </row>
    <row r="3" customFormat="false" ht="24" hidden="false" customHeight="true" outlineLevel="0" collapsed="false">
      <c r="A3" s="67" t="s">
        <v>407</v>
      </c>
      <c r="B3" s="67"/>
      <c r="C3" s="67"/>
      <c r="D3" s="67"/>
      <c r="E3" s="67"/>
    </row>
    <row r="4" customFormat="false" ht="21.75" hidden="false" customHeight="true" outlineLevel="0" collapsed="false">
      <c r="A4" s="68" t="s">
        <v>408</v>
      </c>
      <c r="B4" s="69"/>
      <c r="C4" s="70" t="s">
        <v>409</v>
      </c>
      <c r="D4" s="70" t="s">
        <v>410</v>
      </c>
      <c r="E4" s="69"/>
    </row>
    <row r="5" customFormat="false" ht="21.75" hidden="false" customHeight="true" outlineLevel="0" collapsed="false">
      <c r="A5" s="71" t="s">
        <v>411</v>
      </c>
      <c r="B5" s="72"/>
      <c r="C5" s="73" t="s">
        <v>412</v>
      </c>
      <c r="D5" s="73" t="s">
        <v>413</v>
      </c>
      <c r="E5" s="72"/>
    </row>
    <row r="6" customFormat="false" ht="21.75" hidden="false" customHeight="true" outlineLevel="0" collapsed="false">
      <c r="A6" s="68" t="s">
        <v>414</v>
      </c>
      <c r="B6" s="69"/>
      <c r="C6" s="70" t="s">
        <v>415</v>
      </c>
      <c r="D6" s="70" t="s">
        <v>416</v>
      </c>
      <c r="E6" s="69"/>
    </row>
    <row r="7" customFormat="false" ht="21.75" hidden="false" customHeight="true" outlineLevel="0" collapsed="false">
      <c r="A7" s="71" t="s">
        <v>417</v>
      </c>
      <c r="B7" s="72"/>
      <c r="C7" s="73" t="s">
        <v>418</v>
      </c>
      <c r="D7" s="73" t="s">
        <v>419</v>
      </c>
      <c r="E7" s="72"/>
    </row>
    <row r="8" customFormat="false" ht="21.75" hidden="false" customHeight="true" outlineLevel="0" collapsed="false">
      <c r="A8" s="68" t="s">
        <v>420</v>
      </c>
      <c r="B8" s="69"/>
      <c r="C8" s="70" t="s">
        <v>421</v>
      </c>
      <c r="D8" s="70" t="s">
        <v>422</v>
      </c>
      <c r="E8" s="69"/>
    </row>
    <row r="10" customFormat="false" ht="24" hidden="false" customHeight="true" outlineLevel="0" collapsed="false">
      <c r="A10" s="67" t="s">
        <v>423</v>
      </c>
      <c r="B10" s="67"/>
      <c r="C10" s="67"/>
      <c r="D10" s="67"/>
      <c r="E10" s="67"/>
    </row>
    <row r="11" customFormat="false" ht="21.75" hidden="false" customHeight="true" outlineLevel="0" collapsed="false">
      <c r="A11" s="71" t="s">
        <v>424</v>
      </c>
      <c r="B11" s="72"/>
      <c r="C11" s="73" t="s">
        <v>425</v>
      </c>
      <c r="D11" s="72"/>
      <c r="E11" s="72"/>
    </row>
    <row r="12" customFormat="false" ht="21.75" hidden="false" customHeight="true" outlineLevel="0" collapsed="false">
      <c r="A12" s="68" t="s">
        <v>426</v>
      </c>
      <c r="B12" s="69"/>
      <c r="C12" s="70" t="s">
        <v>427</v>
      </c>
      <c r="D12" s="69"/>
      <c r="E12" s="69"/>
    </row>
    <row r="13" customFormat="false" ht="21.75" hidden="false" customHeight="true" outlineLevel="0" collapsed="false">
      <c r="A13" s="71" t="s">
        <v>428</v>
      </c>
      <c r="B13" s="72"/>
      <c r="C13" s="73" t="s">
        <v>429</v>
      </c>
      <c r="D13" s="72"/>
      <c r="E13" s="72"/>
    </row>
    <row r="14" customFormat="false" ht="21.75" hidden="false" customHeight="true" outlineLevel="0" collapsed="false">
      <c r="A14" s="68" t="s">
        <v>430</v>
      </c>
      <c r="B14" s="69"/>
      <c r="C14" s="70" t="s">
        <v>431</v>
      </c>
      <c r="D14" s="69"/>
      <c r="E14" s="69"/>
    </row>
    <row r="15" customFormat="false" ht="21.75" hidden="false" customHeight="true" outlineLevel="0" collapsed="false">
      <c r="A15" s="71" t="s">
        <v>432</v>
      </c>
      <c r="B15" s="72"/>
      <c r="C15" s="73" t="s">
        <v>433</v>
      </c>
      <c r="D15" s="72"/>
      <c r="E15" s="72"/>
    </row>
    <row r="17" customFormat="false" ht="24" hidden="false" customHeight="true" outlineLevel="0" collapsed="false">
      <c r="A17" s="67" t="s">
        <v>434</v>
      </c>
      <c r="B17" s="67"/>
      <c r="C17" s="67"/>
      <c r="D17" s="67"/>
      <c r="E17" s="67"/>
    </row>
    <row r="18" customFormat="false" ht="21.75" hidden="false" customHeight="true" outlineLevel="0" collapsed="false">
      <c r="A18" s="17" t="s">
        <v>121</v>
      </c>
      <c r="B18" s="74" t="s">
        <v>435</v>
      </c>
      <c r="C18" s="74" t="s">
        <v>436</v>
      </c>
      <c r="D18" s="75"/>
      <c r="E18" s="75"/>
    </row>
    <row r="19" customFormat="false" ht="21.75" hidden="false" customHeight="true" outlineLevel="0" collapsed="false">
      <c r="A19" s="16" t="s">
        <v>35</v>
      </c>
      <c r="B19" s="74" t="s">
        <v>437</v>
      </c>
      <c r="C19" s="74" t="s">
        <v>438</v>
      </c>
      <c r="D19" s="75"/>
      <c r="E19" s="75"/>
    </row>
    <row r="20" customFormat="false" ht="21.75" hidden="false" customHeight="true" outlineLevel="0" collapsed="false">
      <c r="A20" s="18" t="s">
        <v>4</v>
      </c>
      <c r="B20" s="74" t="s">
        <v>439</v>
      </c>
      <c r="C20" s="74" t="s">
        <v>440</v>
      </c>
      <c r="D20" s="75"/>
      <c r="E20" s="75"/>
    </row>
    <row r="21" customFormat="false" ht="21.75" hidden="false" customHeight="true" outlineLevel="0" collapsed="false">
      <c r="A21" s="27" t="s">
        <v>5</v>
      </c>
      <c r="B21" s="74" t="s">
        <v>441</v>
      </c>
      <c r="C21" s="74" t="s">
        <v>442</v>
      </c>
      <c r="D21" s="75"/>
      <c r="E21" s="75"/>
    </row>
    <row r="24" customFormat="false" ht="24" hidden="false" customHeight="true" outlineLevel="0" collapsed="false">
      <c r="A24" s="67" t="s">
        <v>443</v>
      </c>
      <c r="B24" s="67"/>
      <c r="C24" s="67"/>
      <c r="D24" s="67"/>
      <c r="E24" s="67"/>
    </row>
    <row r="25" customFormat="false" ht="21.75" hidden="false" customHeight="true" outlineLevel="0" collapsed="false">
      <c r="A25" s="71" t="s">
        <v>29</v>
      </c>
      <c r="B25" s="72"/>
      <c r="C25" s="73" t="s">
        <v>444</v>
      </c>
      <c r="D25" s="72"/>
      <c r="E25" s="72"/>
    </row>
    <row r="26" customFormat="false" ht="21.75" hidden="false" customHeight="true" outlineLevel="0" collapsed="false">
      <c r="A26" s="68" t="s">
        <v>76</v>
      </c>
      <c r="B26" s="69"/>
      <c r="C26" s="70" t="s">
        <v>445</v>
      </c>
      <c r="D26" s="69"/>
      <c r="E26" s="69"/>
    </row>
    <row r="27" customFormat="false" ht="21.75" hidden="false" customHeight="true" outlineLevel="0" collapsed="false">
      <c r="A27" s="71" t="s">
        <v>115</v>
      </c>
      <c r="B27" s="72"/>
      <c r="C27" s="73" t="s">
        <v>446</v>
      </c>
      <c r="D27" s="72"/>
      <c r="E27" s="72"/>
    </row>
    <row r="28" customFormat="false" ht="21.75" hidden="false" customHeight="true" outlineLevel="0" collapsed="false">
      <c r="A28" s="68" t="s">
        <v>172</v>
      </c>
      <c r="B28" s="69"/>
      <c r="C28" s="70" t="s">
        <v>447</v>
      </c>
      <c r="D28" s="69"/>
      <c r="E28" s="69"/>
    </row>
    <row r="29" customFormat="false" ht="21.75" hidden="false" customHeight="true" outlineLevel="0" collapsed="false">
      <c r="A29" s="71" t="s">
        <v>208</v>
      </c>
      <c r="B29" s="72"/>
      <c r="C29" s="73" t="s">
        <v>448</v>
      </c>
      <c r="D29" s="72"/>
      <c r="E29" s="72"/>
    </row>
    <row r="30" customFormat="false" ht="21.75" hidden="false" customHeight="true" outlineLevel="0" collapsed="false">
      <c r="A30" s="68" t="s">
        <v>247</v>
      </c>
      <c r="B30" s="69"/>
      <c r="C30" s="70" t="s">
        <v>449</v>
      </c>
      <c r="D30" s="69"/>
      <c r="E30" s="69"/>
    </row>
    <row r="31" customFormat="false" ht="21.75" hidden="false" customHeight="true" outlineLevel="0" collapsed="false">
      <c r="A31" s="71" t="s">
        <v>280</v>
      </c>
      <c r="B31" s="72"/>
      <c r="C31" s="73" t="s">
        <v>450</v>
      </c>
      <c r="D31" s="72"/>
      <c r="E31" s="72"/>
    </row>
    <row r="32" customFormat="false" ht="21.75" hidden="false" customHeight="true" outlineLevel="0" collapsed="false">
      <c r="A32" s="68" t="s">
        <v>177</v>
      </c>
      <c r="B32" s="69"/>
      <c r="C32" s="70" t="s">
        <v>451</v>
      </c>
      <c r="D32" s="69"/>
      <c r="E32" s="69"/>
    </row>
    <row r="33" customFormat="false" ht="21.75" hidden="false" customHeight="true" outlineLevel="0" collapsed="false">
      <c r="A33" s="71" t="s">
        <v>325</v>
      </c>
      <c r="B33" s="72"/>
      <c r="C33" s="73" t="s">
        <v>452</v>
      </c>
      <c r="D33" s="72"/>
      <c r="E33" s="72"/>
    </row>
  </sheetData>
  <mergeCells count="5">
    <mergeCell ref="A1:E1"/>
    <mergeCell ref="A3:E3"/>
    <mergeCell ref="A10:E10"/>
    <mergeCell ref="A17:E17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36" hidden="false" customHeight="true" outlineLevel="0" collapsed="false">
      <c r="A1" s="1" t="s">
        <v>453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454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76" t="s">
        <v>2</v>
      </c>
      <c r="B4" s="76"/>
      <c r="C4" s="77" t="s">
        <v>121</v>
      </c>
      <c r="D4" s="77"/>
      <c r="E4" s="78" t="s">
        <v>35</v>
      </c>
      <c r="F4" s="78"/>
      <c r="G4" s="79" t="s">
        <v>4</v>
      </c>
      <c r="H4" s="79"/>
    </row>
    <row r="5" customFormat="false" ht="39.75" hidden="false" customHeight="true" outlineLevel="0" collapsed="false">
      <c r="A5" s="80" t="n">
        <f aca="false">'Risk Register'!A5</f>
        <v>50</v>
      </c>
      <c r="B5" s="80"/>
      <c r="C5" s="81" t="n">
        <f aca="false">COUNTIF('Risk Register'!K8:K57,"Critical")</f>
        <v>1</v>
      </c>
      <c r="D5" s="81"/>
      <c r="E5" s="82" t="n">
        <f aca="false">COUNTIF('Risk Register'!K8:K57,"High")</f>
        <v>28</v>
      </c>
      <c r="F5" s="82"/>
      <c r="G5" s="83" t="n">
        <f aca="false">COUNTIF('Risk Register'!K8:K57,"Medium")</f>
        <v>21</v>
      </c>
      <c r="H5" s="83"/>
    </row>
    <row r="7" customFormat="false" ht="21.75" hidden="false" customHeight="true" outlineLevel="0" collapsed="false">
      <c r="A7" s="77" t="s">
        <v>455</v>
      </c>
      <c r="B7" s="77"/>
      <c r="C7" s="79" t="s">
        <v>7</v>
      </c>
      <c r="D7" s="79"/>
      <c r="E7" s="84" t="s">
        <v>8</v>
      </c>
      <c r="F7" s="84"/>
      <c r="G7" s="85" t="s">
        <v>456</v>
      </c>
      <c r="H7" s="85"/>
    </row>
    <row r="8" customFormat="false" ht="39.75" hidden="false" customHeight="true" outlineLevel="0" collapsed="false">
      <c r="A8" s="81" t="n">
        <f aca="false">COUNTIF('Risk Register'!N8:N57,"Open")</f>
        <v>26</v>
      </c>
      <c r="B8" s="81"/>
      <c r="C8" s="83" t="n">
        <f aca="false">COUNTIF('Risk Register'!N8:N57,"In Progress")</f>
        <v>20</v>
      </c>
      <c r="D8" s="83"/>
      <c r="E8" s="86" t="n">
        <f aca="false">COUNTIF('Risk Register'!N8:N57,"Closed")</f>
        <v>4</v>
      </c>
      <c r="F8" s="86"/>
      <c r="G8" s="87" t="n">
        <f aca="false">IFERROR(AVERAGE('Risk Register'!J8:J57),"-")</f>
        <v>11.16</v>
      </c>
      <c r="H8" s="87"/>
    </row>
    <row r="10" customFormat="false" ht="12" hidden="false" customHeight="true" outlineLevel="0" collapsed="false"/>
    <row r="11" customFormat="false" ht="15" hidden="false" customHeight="false" outlineLevel="0" collapsed="false">
      <c r="A11" s="67" t="s">
        <v>457</v>
      </c>
      <c r="B11" s="67"/>
      <c r="C11" s="67"/>
      <c r="D11" s="67"/>
    </row>
    <row r="12" customFormat="false" ht="21.75" hidden="false" customHeight="true" outlineLevel="0" collapsed="false">
      <c r="A12" s="68" t="s">
        <v>29</v>
      </c>
      <c r="B12" s="70" t="n">
        <f aca="false">COUNTIF('Risk Register'!B8:B57,"Operational")</f>
        <v>6</v>
      </c>
      <c r="C12" s="88" t="n">
        <f aca="false">IFERROR(B12/'Risk Register'!A5,0)</f>
        <v>0.12</v>
      </c>
    </row>
    <row r="13" customFormat="false" ht="21.75" hidden="false" customHeight="true" outlineLevel="0" collapsed="false">
      <c r="A13" s="71" t="s">
        <v>76</v>
      </c>
      <c r="B13" s="73" t="n">
        <f aca="false">COUNTIF('Risk Register'!B8:B57,"Financial")</f>
        <v>6</v>
      </c>
      <c r="C13" s="89" t="n">
        <f aca="false">IFERROR(B13/'Risk Register'!A5,0)</f>
        <v>0.12</v>
      </c>
    </row>
    <row r="14" customFormat="false" ht="21.75" hidden="false" customHeight="true" outlineLevel="0" collapsed="false">
      <c r="A14" s="68" t="s">
        <v>115</v>
      </c>
      <c r="B14" s="70" t="n">
        <f aca="false">COUNTIF('Risk Register'!B8:B57,"Technology")</f>
        <v>10</v>
      </c>
      <c r="C14" s="88" t="n">
        <f aca="false">IFERROR(B14/'Risk Register'!A5,0)</f>
        <v>0.2</v>
      </c>
    </row>
    <row r="15" customFormat="false" ht="21.75" hidden="false" customHeight="true" outlineLevel="0" collapsed="false">
      <c r="A15" s="71" t="s">
        <v>172</v>
      </c>
      <c r="B15" s="73" t="n">
        <f aca="false">COUNTIF('Risk Register'!B8:B57,"Compliance")</f>
        <v>6</v>
      </c>
      <c r="C15" s="89" t="n">
        <f aca="false">IFERROR(B15/'Risk Register'!A5,0)</f>
        <v>0.12</v>
      </c>
    </row>
    <row r="16" customFormat="false" ht="21.75" hidden="false" customHeight="true" outlineLevel="0" collapsed="false">
      <c r="A16" s="68" t="s">
        <v>208</v>
      </c>
      <c r="B16" s="70" t="n">
        <f aca="false">COUNTIF('Risk Register'!B8:B57,"Strategic")</f>
        <v>6</v>
      </c>
      <c r="C16" s="88" t="n">
        <f aca="false">IFERROR(B16/'Risk Register'!A5,0)</f>
        <v>0.12</v>
      </c>
    </row>
    <row r="17" customFormat="false" ht="21.75" hidden="false" customHeight="true" outlineLevel="0" collapsed="false">
      <c r="A17" s="71" t="s">
        <v>247</v>
      </c>
      <c r="B17" s="73" t="n">
        <f aca="false">COUNTIF('Risk Register'!B8:B57,"People")</f>
        <v>6</v>
      </c>
      <c r="C17" s="89" t="n">
        <f aca="false">IFERROR(B17/'Risk Register'!A5,0)</f>
        <v>0.12</v>
      </c>
    </row>
    <row r="18" customFormat="false" ht="21.75" hidden="false" customHeight="true" outlineLevel="0" collapsed="false">
      <c r="A18" s="68" t="s">
        <v>280</v>
      </c>
      <c r="B18" s="70" t="n">
        <f aca="false">COUNTIF('Risk Register'!B8:B57,"Environmental")</f>
        <v>3</v>
      </c>
      <c r="C18" s="88" t="n">
        <f aca="false">IFERROR(B18/'Risk Register'!A5,0)</f>
        <v>0.06</v>
      </c>
    </row>
    <row r="19" customFormat="false" ht="21.75" hidden="false" customHeight="true" outlineLevel="0" collapsed="false">
      <c r="A19" s="71" t="s">
        <v>177</v>
      </c>
      <c r="B19" s="73" t="n">
        <f aca="false">COUNTIF('Risk Register'!B8:B57,"Legal")</f>
        <v>4</v>
      </c>
      <c r="C19" s="89" t="n">
        <f aca="false">IFERROR(B19/'Risk Register'!A5,0)</f>
        <v>0.08</v>
      </c>
    </row>
    <row r="20" customFormat="false" ht="21.75" hidden="false" customHeight="true" outlineLevel="0" collapsed="false">
      <c r="A20" s="68" t="s">
        <v>325</v>
      </c>
      <c r="B20" s="70" t="n">
        <f aca="false">COUNTIF('Risk Register'!B8:B57,"Supply Chain")</f>
        <v>3</v>
      </c>
      <c r="C20" s="88" t="n">
        <f aca="false">IFERROR(B20/'Risk Register'!A5,0)</f>
        <v>0.06</v>
      </c>
    </row>
  </sheetData>
  <mergeCells count="1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2026-02-17T04:51:04Z</dcterms:created>
  <dc:creator>openpyxl</dc:creator>
  <dc:description/>
  <dc:language>en-US</dc:language>
  <cp:lastModifiedBy/>
  <dcterms:modified xsi:type="dcterms:W3CDTF">2026-02-17T04:51:05Z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