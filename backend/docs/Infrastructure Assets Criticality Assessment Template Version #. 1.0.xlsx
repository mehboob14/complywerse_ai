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BL\IS Policy and ISMS Project\ISMS Documentation\5.12 Classification of information\"/>
    </mc:Choice>
  </mc:AlternateContent>
  <xr:revisionPtr revIDLastSave="0" documentId="13_ncr:1_{25365CF8-AF14-4175-A611-E38EC854F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A Criticality Assessment Templ" sheetId="4" r:id="rId1"/>
    <sheet name="Selection" sheetId="2" state="hidden" r:id="rId2"/>
    <sheet name="Calculatio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D10" i="3" s="1"/>
  <c r="B7" i="3"/>
  <c r="D7" i="3" s="1"/>
  <c r="B6" i="3"/>
  <c r="D6" i="3" s="1"/>
  <c r="B5" i="3"/>
  <c r="D5" i="3" s="1"/>
  <c r="B4" i="3"/>
  <c r="D4" i="3" s="1"/>
  <c r="B3" i="3"/>
  <c r="D3" i="3" s="1"/>
  <c r="B2" i="3"/>
  <c r="D2" i="3" s="1"/>
  <c r="B9" i="3"/>
  <c r="D9" i="3" s="1"/>
  <c r="B8" i="3"/>
  <c r="D8" i="3" s="1"/>
  <c r="D11" i="3" l="1"/>
  <c r="D13" i="3" s="1"/>
  <c r="A37" i="4" l="1"/>
  <c r="B37" i="4" s="1"/>
</calcChain>
</file>

<file path=xl/sharedStrings.xml><?xml version="1.0" encoding="utf-8"?>
<sst xmlns="http://schemas.openxmlformats.org/spreadsheetml/2006/main" count="113" uniqueCount="82">
  <si>
    <t>Comments/Notes</t>
  </si>
  <si>
    <t>Space for additional comments or justification for scores</t>
  </si>
  <si>
    <t>E-Mail</t>
  </si>
  <si>
    <t>Score (1-4): Please select from the drop down list.</t>
  </si>
  <si>
    <t>Designation</t>
  </si>
  <si>
    <t>Date of Assessment</t>
  </si>
  <si>
    <t>dd/mm/YYYY</t>
  </si>
  <si>
    <t>Total Score</t>
  </si>
  <si>
    <t>Criticality Level</t>
  </si>
  <si>
    <t>Contact # (Ext/Cell)</t>
  </si>
  <si>
    <r>
      <t xml:space="preserve">Contact # </t>
    </r>
    <r>
      <rPr>
        <b/>
        <i/>
        <sz val="9"/>
        <color theme="1"/>
        <rFont val="Calibri"/>
        <family val="2"/>
        <scheme val="minor"/>
      </rPr>
      <t>(Ext/Cell)</t>
    </r>
  </si>
  <si>
    <t>Infrastructure Assets Criticality Assessment</t>
  </si>
  <si>
    <t>Name of Infrastructure Assets</t>
  </si>
  <si>
    <t>Location</t>
  </si>
  <si>
    <t>Business Impact</t>
  </si>
  <si>
    <r>
      <t xml:space="preserve">Business Impact
</t>
    </r>
    <r>
      <rPr>
        <i/>
        <sz val="9"/>
        <color theme="1"/>
        <rFont val="Calibri"/>
        <family val="2"/>
        <scheme val="minor"/>
      </rPr>
      <t>Measures how much the failure, unavailability, or compromise of the infrastructure component would affect business operations, service delivery, financial performance, and regulatory compliance.</t>
    </r>
  </si>
  <si>
    <r>
      <t xml:space="preserve">Service Dependency
</t>
    </r>
    <r>
      <rPr>
        <i/>
        <sz val="9"/>
        <color theme="1"/>
        <rFont val="Calibri"/>
        <family val="2"/>
        <scheme val="minor"/>
      </rPr>
      <t>Assesses how many business services, applications, or other systems depend on the component’s functioning.</t>
    </r>
  </si>
  <si>
    <t>Data Sensitivity</t>
  </si>
  <si>
    <r>
      <t xml:space="preserve">Data Sensitivity
</t>
    </r>
    <r>
      <rPr>
        <i/>
        <sz val="9"/>
        <color theme="1"/>
        <rFont val="Calibri"/>
        <family val="2"/>
        <scheme val="minor"/>
      </rPr>
      <t>Evaluates the level of sensitivity, confidentiality, and regulatory importance of data processed, stored, or transmitted by the component.</t>
    </r>
  </si>
  <si>
    <r>
      <t xml:space="preserve">Redundancy / Failover Capability
</t>
    </r>
    <r>
      <rPr>
        <i/>
        <sz val="9"/>
        <color theme="1"/>
        <rFont val="Calibri"/>
        <family val="2"/>
        <scheme val="minor"/>
      </rPr>
      <t>Measures the level of redundancy, backup systems, and failover mechanisms available to ensure continuity.</t>
    </r>
  </si>
  <si>
    <t>Recovery Time Objective (RTO)</t>
  </si>
  <si>
    <r>
      <t xml:space="preserve">Recovery Time Objective (RTO)
</t>
    </r>
    <r>
      <rPr>
        <i/>
        <sz val="9"/>
        <color theme="1"/>
        <rFont val="Calibri"/>
        <family val="2"/>
        <scheme val="minor"/>
      </rPr>
      <t>Indicates the maximum tolerable downtime for restoring functionality after a disruption.</t>
    </r>
  </si>
  <si>
    <r>
      <t xml:space="preserve">Availability Requirement
</t>
    </r>
    <r>
      <rPr>
        <i/>
        <sz val="9"/>
        <color theme="1"/>
        <rFont val="Calibri"/>
        <family val="2"/>
        <scheme val="minor"/>
      </rPr>
      <t>Reflects the expected uptime and service availability demanded by business operations.</t>
    </r>
  </si>
  <si>
    <r>
      <t xml:space="preserve">Potential Operational Disruption
</t>
    </r>
    <r>
      <rPr>
        <i/>
        <sz val="9"/>
        <color theme="1"/>
        <rFont val="Calibri"/>
        <family val="2"/>
        <scheme val="minor"/>
      </rPr>
      <t>Estimates the extent of operational disruption (internal or customer-facing) if the component fails or is compromised.</t>
    </r>
  </si>
  <si>
    <r>
      <t xml:space="preserve">Regulatory / Compliance Dependency
</t>
    </r>
    <r>
      <rPr>
        <i/>
        <sz val="9"/>
        <color theme="1"/>
        <rFont val="Calibri"/>
        <family val="2"/>
        <scheme val="minor"/>
      </rPr>
      <t>Determines how much the component contributes to compliance with legal, regulatory, or contractual obligations.</t>
    </r>
  </si>
  <si>
    <t>Purpose / Description</t>
  </si>
  <si>
    <t>Make / Model</t>
  </si>
  <si>
    <t>Service Dependency</t>
  </si>
  <si>
    <t>Redundancy / Failover Capability</t>
  </si>
  <si>
    <t>Availability Requirement</t>
  </si>
  <si>
    <t>Potential Operational Disruption</t>
  </si>
  <si>
    <t>Regulatory / Compliance Dependency</t>
  </si>
  <si>
    <t>1: Low - Minimal or no impact on business operations. Temporary loss tolerated without disrupting core services or compliance obligations.</t>
  </si>
  <si>
    <t>2: Moderate - Limited impact; some inconvenience or degradation in performance. Operations can continue using workarounds or alternate systems.</t>
  </si>
  <si>
    <t>3: High - Significant disruption to key processes or customer-facing services. Financial, reputational, or compliance impact if not restored promptly.</t>
  </si>
  <si>
    <t>4: Mission-Critical - Outage or compromise causes complete halt of critical business operations, major financial/reputational damage, or regulatory violation. Continuous availability essential.</t>
  </si>
  <si>
    <t>1: Low - Supports only non-essential or isolated services. Dependencies are minimal and easily rerouted.</t>
  </si>
  <si>
    <t>2: Moderate - Supports a few important services or systems, but alternatives exist. Failure causes limited service degradation.</t>
  </si>
  <si>
    <t>3: High - Supports several critical services or shared infrastructure functions. Failure disrupts multiple business processes.</t>
  </si>
  <si>
    <t>4: Mission-Critical - Core dependency for mission-critical applications or enterprise-wide functions. Its failure halts multiple essential services simultaneously.</t>
  </si>
  <si>
    <t>1: Low - Processes non-sensitive data (e.g., public or test data) with no confidentiality or compliance requirements.</t>
  </si>
  <si>
    <t>2: Moderate - Handles internal-use data with limited sensitivity. Unauthorized disclosure would cause minor operational inconvenience.</t>
  </si>
  <si>
    <t>3: High - Processes confidential or restricted data. Compromise could lead to compliance concerns or reputational damage.</t>
  </si>
  <si>
    <t>4: Mission-Critical - Handles highly confidential, regulated, or customer-identifiable data. Breach would result in severe financial, legal, or regulatory consequences.</t>
  </si>
  <si>
    <t>1: Low - Fully redundant or highly resilient; multiple failover mechanisms exist. Minimal risk of single point of failure.</t>
  </si>
  <si>
    <t>2: Moderate - Partial redundancy exists; manual intervention required during failover. Short downtime possible.</t>
  </si>
  <si>
    <t>3: High - Limited redundancy; failover options are delayed or not automatic. Outage duration may be moderate.</t>
  </si>
  <si>
    <t>4: Mission-Critical - No redundancy or failover capability. Failure directly results in immediate and total service outage.</t>
  </si>
  <si>
    <t>1: Low - RTO greater than 48 hours; recovery can be delayed without material impact.</t>
  </si>
  <si>
    <t>2: Moderate - RTO between 8 and 48 hours; short-term disruption acceptable.</t>
  </si>
  <si>
    <t>3: High - RTO between 1 and 8 hours; rapid restoration needed to avoid significant business impact.</t>
  </si>
  <si>
    <t>4: Mission-Critical - RTO less than 1 hour; immediate recovery required to sustain essential operations.</t>
  </si>
  <si>
    <t>1: Low - Availability requirement &lt; 95%. Short downtime acceptable.</t>
  </si>
  <si>
    <t>2: Moderate - Availability requirement between 95%–98%. Occasional outages tolerated.</t>
  </si>
  <si>
    <t>3: High - Availability requirement between 98%–99.9%. Limited maintenance windows allowed.</t>
  </si>
  <si>
    <t>4: Mission-Critical - Availability requirement ≥ 99.9%. Continuous operation required with near-zero tolerance for downtime.</t>
  </si>
  <si>
    <t>1: Low - Minimal operational disturbance. No customer impact or SLA breach.</t>
  </si>
  <si>
    <t>2: Moderate - Limited disruption; minor service delays or performance degradation.</t>
  </si>
  <si>
    <t>3: High - Major operational impact; affects multiple users or departments. Service restoration becomes a priority.</t>
  </si>
  <si>
    <t>4: Mission-Critical - Complete service outage or severe operational breakdown. Business operations severely impacted until recovery.</t>
  </si>
  <si>
    <t>1: Low - No direct link to regulatory or compliance requirements.</t>
  </si>
  <si>
    <t>2: Moderate - Indirectly supports compliance (e.g., supporting infrastructure for a compliant system).</t>
  </si>
  <si>
    <t>3: High - Directly supports regulated processes or data handling. Non-compliance possible if unavailable.</t>
  </si>
  <si>
    <t>4: Mission-Critical - Essential for maintaining compliance (e.g., audit logging, encryption, or data protection systems). Failure results in immediate non-compliance.</t>
  </si>
  <si>
    <t>Evaluation Criteria</t>
  </si>
  <si>
    <t>Rating(1-4)</t>
  </si>
  <si>
    <t>Weight (%)</t>
  </si>
  <si>
    <t>Weighted Score</t>
  </si>
  <si>
    <t>Assigned Criticality Level</t>
  </si>
  <si>
    <t>Assets Administrator Name</t>
  </si>
  <si>
    <t>Asset Cutodian Name</t>
  </si>
  <si>
    <t>Name of Assessors (IT/IS)</t>
  </si>
  <si>
    <t>Fault Tolrence / High Availbility</t>
  </si>
  <si>
    <t>Exposure</t>
  </si>
  <si>
    <t>1: Low – Internally Accessible Only -Accessible only within the internal network; no external connectivity.</t>
  </si>
  <si>
    <t>2: Moderate – Screened - Limited external access through controlled, secured network zones.</t>
  </si>
  <si>
    <t>3: High – Whitelisted External Access - Externally accessible to specific trusted sources or IPs under strict control.</t>
  </si>
  <si>
    <t>4: Mission-Critical – Publicly Exposed - Publicly or widely accessible over the internet; high exposure risk.</t>
  </si>
  <si>
    <r>
      <rPr>
        <b/>
        <sz val="11"/>
        <color theme="1"/>
        <rFont val="Calibri"/>
        <family val="2"/>
        <scheme val="minor"/>
      </rPr>
      <t>Exposure</t>
    </r>
    <r>
      <rPr>
        <i/>
        <sz val="9"/>
        <color theme="1"/>
        <rFont val="Calibri"/>
        <family val="2"/>
        <scheme val="minor"/>
      </rPr>
      <t xml:space="preserve">
Measures how accessible an infrastructure component is to internal or external networks and users, reflecting its potential exposure to cyber threats.</t>
    </r>
  </si>
  <si>
    <t>Expouser</t>
  </si>
  <si>
    <t>Please Select One:</t>
  </si>
  <si>
    <r>
      <t xml:space="preserve">Associated IPs (Internal &amp; External) and URLs </t>
    </r>
    <r>
      <rPr>
        <i/>
        <sz val="9"/>
        <color theme="1"/>
        <rFont val="Calibri"/>
        <family val="2"/>
        <scheme val="minor"/>
      </rPr>
      <t>(Includes all inlcuding managemet URLs)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</si>
</sst>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wrapText="1"/>
    </xf>
    <xf numFmtId="0" fontId="0" fillId="0" borderId="1" xfId="0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1" fontId="0" fillId="3" borderId="1" xfId="0" applyNumberFormat="1" applyFill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 applyProtection="1">
      <alignment vertical="center"/>
      <protection locked="0"/>
    </xf>
    <xf numFmtId="0" fontId="1" fillId="4" borderId="1" xfId="0" applyFont="1" applyFill="1" applyBorder="1"/>
    <xf numFmtId="0" fontId="0" fillId="4" borderId="1" xfId="0" applyFill="1" applyBorder="1" applyProtection="1">
      <protection locked="0"/>
    </xf>
    <xf numFmtId="14" fontId="3" fillId="3" borderId="1" xfId="0" applyNumberFormat="1" applyFont="1" applyFill="1" applyBorder="1" applyAlignment="1" applyProtection="1">
      <alignment vertical="center"/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/>
    </xf>
    <xf numFmtId="0" fontId="2" fillId="0" borderId="1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2</xdr:col>
      <xdr:colOff>0</xdr:colOff>
      <xdr:row>2</xdr:row>
      <xdr:rowOff>135890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151173-C751-48E4-88FB-0E9AB16B4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"/>
          <a:ext cx="13822680" cy="4559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3A38-05D5-4BEA-998F-2CC48DF23F38}">
  <dimension ref="A1:B39"/>
  <sheetViews>
    <sheetView tabSelected="1" workbookViewId="0">
      <selection activeCell="A49" sqref="A49"/>
    </sheetView>
  </sheetViews>
  <sheetFormatPr defaultRowHeight="14.4" x14ac:dyDescent="0.3"/>
  <cols>
    <col min="1" max="2" width="100.77734375" customWidth="1"/>
    <col min="3" max="3" width="80.77734375" customWidth="1"/>
  </cols>
  <sheetData>
    <row r="1" spans="1:2" x14ac:dyDescent="0.3">
      <c r="A1" s="40"/>
      <c r="B1" s="40"/>
    </row>
    <row r="2" spans="1:2" x14ac:dyDescent="0.3">
      <c r="A2" s="40"/>
      <c r="B2" s="40"/>
    </row>
    <row r="3" spans="1:2" x14ac:dyDescent="0.3">
      <c r="A3" s="40"/>
      <c r="B3" s="40"/>
    </row>
    <row r="4" spans="1:2" x14ac:dyDescent="0.3">
      <c r="A4" s="41" t="s">
        <v>11</v>
      </c>
      <c r="B4" s="41"/>
    </row>
    <row r="5" spans="1:2" x14ac:dyDescent="0.3">
      <c r="A5" s="41"/>
      <c r="B5" s="41"/>
    </row>
    <row r="6" spans="1:2" x14ac:dyDescent="0.3">
      <c r="A6" s="41"/>
      <c r="B6" s="41"/>
    </row>
    <row r="7" spans="1:2" x14ac:dyDescent="0.3">
      <c r="A7" s="10" t="s">
        <v>12</v>
      </c>
      <c r="B7" s="5"/>
    </row>
    <row r="8" spans="1:2" x14ac:dyDescent="0.3">
      <c r="A8" s="11" t="s">
        <v>25</v>
      </c>
      <c r="B8" s="5"/>
    </row>
    <row r="9" spans="1:2" x14ac:dyDescent="0.3">
      <c r="A9" s="11" t="s">
        <v>26</v>
      </c>
      <c r="B9" s="5"/>
    </row>
    <row r="10" spans="1:2" x14ac:dyDescent="0.3">
      <c r="A10" s="11" t="s">
        <v>13</v>
      </c>
      <c r="B10" s="5"/>
    </row>
    <row r="11" spans="1:2" x14ac:dyDescent="0.3">
      <c r="A11" s="12" t="s">
        <v>81</v>
      </c>
      <c r="B11" s="5"/>
    </row>
    <row r="12" spans="1:2" x14ac:dyDescent="0.3">
      <c r="A12" s="12" t="s">
        <v>72</v>
      </c>
      <c r="B12" s="34" t="s">
        <v>80</v>
      </c>
    </row>
    <row r="13" spans="1:2" x14ac:dyDescent="0.3">
      <c r="A13" s="13" t="s">
        <v>70</v>
      </c>
      <c r="B13" s="7"/>
    </row>
    <row r="14" spans="1:2" x14ac:dyDescent="0.3">
      <c r="A14" s="13" t="s">
        <v>4</v>
      </c>
      <c r="B14" s="7"/>
    </row>
    <row r="15" spans="1:2" x14ac:dyDescent="0.3">
      <c r="A15" s="13" t="s">
        <v>9</v>
      </c>
      <c r="B15" s="7"/>
    </row>
    <row r="16" spans="1:2" x14ac:dyDescent="0.3">
      <c r="A16" s="13" t="s">
        <v>2</v>
      </c>
      <c r="B16" s="7"/>
    </row>
    <row r="17" spans="1:2" x14ac:dyDescent="0.3">
      <c r="A17" s="15" t="s">
        <v>69</v>
      </c>
      <c r="B17" s="16"/>
    </row>
    <row r="18" spans="1:2" x14ac:dyDescent="0.3">
      <c r="A18" s="15" t="s">
        <v>4</v>
      </c>
      <c r="B18" s="16"/>
    </row>
    <row r="19" spans="1:2" x14ac:dyDescent="0.3">
      <c r="A19" s="15" t="s">
        <v>9</v>
      </c>
      <c r="B19" s="16"/>
    </row>
    <row r="20" spans="1:2" x14ac:dyDescent="0.3">
      <c r="A20" s="17" t="s">
        <v>2</v>
      </c>
      <c r="B20" s="18"/>
    </row>
    <row r="21" spans="1:2" x14ac:dyDescent="0.3">
      <c r="A21" s="14" t="s">
        <v>71</v>
      </c>
      <c r="B21" s="8"/>
    </row>
    <row r="22" spans="1:2" x14ac:dyDescent="0.3">
      <c r="A22" s="14" t="s">
        <v>4</v>
      </c>
      <c r="B22" s="8"/>
    </row>
    <row r="23" spans="1:2" x14ac:dyDescent="0.3">
      <c r="A23" s="14" t="s">
        <v>10</v>
      </c>
      <c r="B23" s="9"/>
    </row>
    <row r="24" spans="1:2" x14ac:dyDescent="0.3">
      <c r="A24" s="14" t="s">
        <v>2</v>
      </c>
      <c r="B24" s="8"/>
    </row>
    <row r="25" spans="1:2" x14ac:dyDescent="0.3">
      <c r="A25" s="14" t="s">
        <v>5</v>
      </c>
      <c r="B25" s="19" t="s">
        <v>6</v>
      </c>
    </row>
    <row r="26" spans="1:2" ht="38.4" x14ac:dyDescent="0.3">
      <c r="A26" s="36" t="s">
        <v>15</v>
      </c>
      <c r="B26" s="36" t="s">
        <v>16</v>
      </c>
    </row>
    <row r="27" spans="1:2" ht="24" x14ac:dyDescent="0.3">
      <c r="A27" s="6" t="s">
        <v>35</v>
      </c>
      <c r="B27" s="6" t="s">
        <v>39</v>
      </c>
    </row>
    <row r="28" spans="1:2" ht="26.4" x14ac:dyDescent="0.3">
      <c r="A28" s="36" t="s">
        <v>18</v>
      </c>
      <c r="B28" s="36" t="s">
        <v>19</v>
      </c>
    </row>
    <row r="29" spans="1:2" x14ac:dyDescent="0.3">
      <c r="A29" s="6" t="s">
        <v>42</v>
      </c>
      <c r="B29" s="6" t="s">
        <v>45</v>
      </c>
    </row>
    <row r="30" spans="1:2" ht="26.4" x14ac:dyDescent="0.3">
      <c r="A30" s="36" t="s">
        <v>21</v>
      </c>
      <c r="B30" s="36" t="s">
        <v>22</v>
      </c>
    </row>
    <row r="31" spans="1:2" x14ac:dyDescent="0.3">
      <c r="A31" s="6" t="s">
        <v>49</v>
      </c>
      <c r="B31" s="6" t="s">
        <v>54</v>
      </c>
    </row>
    <row r="32" spans="1:2" ht="26.4" x14ac:dyDescent="0.3">
      <c r="A32" s="36" t="s">
        <v>23</v>
      </c>
      <c r="B32" s="36" t="s">
        <v>24</v>
      </c>
    </row>
    <row r="33" spans="1:2" x14ac:dyDescent="0.3">
      <c r="A33" s="6" t="s">
        <v>59</v>
      </c>
      <c r="B33" s="6" t="s">
        <v>62</v>
      </c>
    </row>
    <row r="34" spans="1:2" ht="38.4" x14ac:dyDescent="0.3">
      <c r="A34" s="37" t="s">
        <v>78</v>
      </c>
      <c r="B34" s="44"/>
    </row>
    <row r="35" spans="1:2" x14ac:dyDescent="0.3">
      <c r="A35" s="6" t="s">
        <v>75</v>
      </c>
      <c r="B35" s="45"/>
    </row>
    <row r="36" spans="1:2" x14ac:dyDescent="0.3">
      <c r="A36" s="35" t="s">
        <v>7</v>
      </c>
      <c r="B36" s="35" t="s">
        <v>8</v>
      </c>
    </row>
    <row r="37" spans="1:2" ht="61.2" x14ac:dyDescent="0.3">
      <c r="A37" s="38">
        <f>Calculation!D11</f>
        <v>3.07</v>
      </c>
      <c r="B37" s="39" t="str">
        <f>IF(A37&gt;=3.5,"Mission-Critical",IF(A37&gt;=2.5,"High",IF(A37&gt;=1.5,"Moderate","Low")))</f>
        <v>High</v>
      </c>
    </row>
    <row r="38" spans="1:2" x14ac:dyDescent="0.3">
      <c r="A38" s="42" t="s">
        <v>0</v>
      </c>
      <c r="B38" s="42"/>
    </row>
    <row r="39" spans="1:2" x14ac:dyDescent="0.3">
      <c r="A39" s="43" t="s">
        <v>1</v>
      </c>
      <c r="B39" s="43"/>
    </row>
  </sheetData>
  <mergeCells count="5">
    <mergeCell ref="A1:B3"/>
    <mergeCell ref="A4:B6"/>
    <mergeCell ref="A38:B38"/>
    <mergeCell ref="A39:B39"/>
    <mergeCell ref="B34:B35"/>
  </mergeCells>
  <conditionalFormatting sqref="B37">
    <cfRule type="containsText" dxfId="3" priority="1" operator="containsText" text="Low">
      <formula>NOT(ISERROR(SEARCH("Low",B37)))</formula>
    </cfRule>
    <cfRule type="containsText" dxfId="2" priority="2" operator="containsText" text="Moderate">
      <formula>NOT(ISERROR(SEARCH("Moderate",B37)))</formula>
    </cfRule>
    <cfRule type="containsText" dxfId="1" priority="3" operator="containsText" text="High">
      <formula>NOT(ISERROR(SEARCH("High",B37)))</formula>
    </cfRule>
    <cfRule type="containsText" dxfId="0" priority="4" operator="containsText" text="Mission-Critical">
      <formula>NOT(ISERROR(SEARCH("Mission-Critical",B37)))</formula>
    </cfRule>
  </conditionalFormatting>
  <dataValidations count="1">
    <dataValidation type="list" allowBlank="1" showInputMessage="1" showErrorMessage="1" sqref="B12" xr:uid="{2A23F8C0-D134-4C6A-BF4C-BC1D8C0EFB1E}">
      <formula1>"Please Select One:,Yes, No, N/A"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C612156-D068-4791-AD21-C4B206E2B0F8}">
          <x14:formula1>
            <xm:f>Selection!$A$37:$A$41</xm:f>
          </x14:formula1>
          <xm:sqref>B31</xm:sqref>
        </x14:dataValidation>
        <x14:dataValidation type="list" allowBlank="1" showErrorMessage="1" xr:uid="{45036963-6FC6-4A68-810A-89237D7BF714}">
          <x14:formula1>
            <xm:f>Selection!$A$2:$A$6</xm:f>
          </x14:formula1>
          <xm:sqref>A27</xm:sqref>
        </x14:dataValidation>
        <x14:dataValidation type="list" allowBlank="1" showInputMessage="1" showErrorMessage="1" xr:uid="{D7496F69-44A6-46E5-A833-7E749F5D5C70}">
          <x14:formula1>
            <xm:f>Selection!$A$51:$A$55</xm:f>
          </x14:formula1>
          <xm:sqref>B33</xm:sqref>
        </x14:dataValidation>
        <x14:dataValidation type="list" allowBlank="1" showInputMessage="1" showErrorMessage="1" xr:uid="{AD82B4CC-496F-4AA2-B5E3-E56BA529E9B5}">
          <x14:formula1>
            <xm:f>Selection!$A$30:$A$34</xm:f>
          </x14:formula1>
          <xm:sqref>A31</xm:sqref>
        </x14:dataValidation>
        <x14:dataValidation type="list" allowBlank="1" showInputMessage="1" showErrorMessage="1" xr:uid="{9F802CF1-CA57-456A-9D6A-8440E5B420FB}">
          <x14:formula1>
            <xm:f>Selection!$A$23:$A$27</xm:f>
          </x14:formula1>
          <xm:sqref>B29</xm:sqref>
        </x14:dataValidation>
        <x14:dataValidation type="list" allowBlank="1" showInputMessage="1" showErrorMessage="1" xr:uid="{EFDB6388-F5CA-44ED-BC2C-CE8FFD24E222}">
          <x14:formula1>
            <xm:f>Selection!$A$16:$A$20</xm:f>
          </x14:formula1>
          <xm:sqref>A29</xm:sqref>
        </x14:dataValidation>
        <x14:dataValidation type="list" allowBlank="1" showInputMessage="1" showErrorMessage="1" xr:uid="{CE849E32-4FED-43DB-A1E1-411E3DC2F181}">
          <x14:formula1>
            <xm:f>Selection!$A$9:$A$13</xm:f>
          </x14:formula1>
          <xm:sqref>B27</xm:sqref>
        </x14:dataValidation>
        <x14:dataValidation type="list" allowBlank="1" showErrorMessage="1" xr:uid="{83252988-3F94-4115-89DF-C9BD58C2D8EA}">
          <x14:formula1>
            <xm:f>Selection!$A$9:$A$13</xm:f>
          </x14:formula1>
          <xm:sqref>B27</xm:sqref>
        </x14:dataValidation>
        <x14:dataValidation type="list" allowBlank="1" showInputMessage="1" showErrorMessage="1" xr:uid="{EC429E25-AF92-48BE-864E-0518B7CB5370}">
          <x14:formula1>
            <xm:f>Selection!$A$44:$A$48</xm:f>
          </x14:formula1>
          <xm:sqref>A33</xm:sqref>
        </x14:dataValidation>
        <x14:dataValidation type="list" allowBlank="1" showInputMessage="1" showErrorMessage="1" xr:uid="{878276FE-F4D1-4F47-8263-9011AC5BA764}">
          <x14:formula1>
            <xm:f>Selection!$A$58:$A$62</xm:f>
          </x14:formula1>
          <xm:sqref>A35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F64C-3795-402D-BC7E-277E6DC8076E}">
  <dimension ref="A1:A62"/>
  <sheetViews>
    <sheetView topLeftCell="A46" workbookViewId="0">
      <selection activeCell="A62" sqref="A62"/>
    </sheetView>
  </sheetViews>
  <sheetFormatPr defaultRowHeight="14.4" x14ac:dyDescent="0.3"/>
  <cols>
    <col min="1" max="1" width="49.109375" style="31" customWidth="1"/>
    <col min="2" max="2" width="53.77734375" bestFit="1" customWidth="1"/>
  </cols>
  <sheetData>
    <row r="1" spans="1:1" x14ac:dyDescent="0.3">
      <c r="A1" s="25" t="s">
        <v>14</v>
      </c>
    </row>
    <row r="2" spans="1:1" x14ac:dyDescent="0.3">
      <c r="A2" s="26" t="s">
        <v>3</v>
      </c>
    </row>
    <row r="3" spans="1:1" x14ac:dyDescent="0.3">
      <c r="A3" s="27" t="s">
        <v>32</v>
      </c>
    </row>
    <row r="4" spans="1:1" x14ac:dyDescent="0.3">
      <c r="A4" s="27" t="s">
        <v>33</v>
      </c>
    </row>
    <row r="5" spans="1:1" x14ac:dyDescent="0.3">
      <c r="A5" s="27" t="s">
        <v>34</v>
      </c>
    </row>
    <row r="6" spans="1:1" ht="63.6" customHeight="1" x14ac:dyDescent="0.3">
      <c r="A6" s="27" t="s">
        <v>35</v>
      </c>
    </row>
    <row r="8" spans="1:1" x14ac:dyDescent="0.3">
      <c r="A8" s="25" t="s">
        <v>27</v>
      </c>
    </row>
    <row r="9" spans="1:1" x14ac:dyDescent="0.3">
      <c r="A9" s="28" t="s">
        <v>3</v>
      </c>
    </row>
    <row r="10" spans="1:1" x14ac:dyDescent="0.3">
      <c r="A10" s="27" t="s">
        <v>36</v>
      </c>
    </row>
    <row r="11" spans="1:1" x14ac:dyDescent="0.3">
      <c r="A11" s="27" t="s">
        <v>37</v>
      </c>
    </row>
    <row r="12" spans="1:1" x14ac:dyDescent="0.3">
      <c r="A12" s="27" t="s">
        <v>38</v>
      </c>
    </row>
    <row r="13" spans="1:1" x14ac:dyDescent="0.3">
      <c r="A13" s="27" t="s">
        <v>39</v>
      </c>
    </row>
    <row r="15" spans="1:1" x14ac:dyDescent="0.3">
      <c r="A15" s="25" t="s">
        <v>17</v>
      </c>
    </row>
    <row r="16" spans="1:1" x14ac:dyDescent="0.3">
      <c r="A16" s="26" t="s">
        <v>3</v>
      </c>
    </row>
    <row r="17" spans="1:1" x14ac:dyDescent="0.3">
      <c r="A17" s="27" t="s">
        <v>40</v>
      </c>
    </row>
    <row r="18" spans="1:1" x14ac:dyDescent="0.3">
      <c r="A18" s="27" t="s">
        <v>41</v>
      </c>
    </row>
    <row r="19" spans="1:1" x14ac:dyDescent="0.3">
      <c r="A19" s="27" t="s">
        <v>42</v>
      </c>
    </row>
    <row r="20" spans="1:1" ht="28.8" x14ac:dyDescent="0.3">
      <c r="A20" s="27" t="s">
        <v>43</v>
      </c>
    </row>
    <row r="22" spans="1:1" x14ac:dyDescent="0.3">
      <c r="A22" s="25" t="s">
        <v>28</v>
      </c>
    </row>
    <row r="23" spans="1:1" x14ac:dyDescent="0.3">
      <c r="A23" s="26" t="s">
        <v>3</v>
      </c>
    </row>
    <row r="24" spans="1:1" x14ac:dyDescent="0.3">
      <c r="A24" s="27" t="s">
        <v>44</v>
      </c>
    </row>
    <row r="25" spans="1:1" ht="43.2" x14ac:dyDescent="0.3">
      <c r="A25" s="27" t="s">
        <v>45</v>
      </c>
    </row>
    <row r="26" spans="1:1" ht="28.8" x14ac:dyDescent="0.3">
      <c r="A26" s="27" t="s">
        <v>46</v>
      </c>
    </row>
    <row r="27" spans="1:1" ht="43.2" x14ac:dyDescent="0.3">
      <c r="A27" s="27" t="s">
        <v>47</v>
      </c>
    </row>
    <row r="29" spans="1:1" x14ac:dyDescent="0.3">
      <c r="A29" s="29" t="s">
        <v>20</v>
      </c>
    </row>
    <row r="30" spans="1:1" x14ac:dyDescent="0.3">
      <c r="A30" s="26" t="s">
        <v>3</v>
      </c>
    </row>
    <row r="31" spans="1:1" ht="28.8" x14ac:dyDescent="0.3">
      <c r="A31" s="27" t="s">
        <v>48</v>
      </c>
    </row>
    <row r="32" spans="1:1" ht="28.8" x14ac:dyDescent="0.3">
      <c r="A32" s="27" t="s">
        <v>49</v>
      </c>
    </row>
    <row r="33" spans="1:1" ht="28.8" x14ac:dyDescent="0.3">
      <c r="A33" s="27" t="s">
        <v>50</v>
      </c>
    </row>
    <row r="34" spans="1:1" ht="28.8" x14ac:dyDescent="0.3">
      <c r="A34" s="27" t="s">
        <v>51</v>
      </c>
    </row>
    <row r="36" spans="1:1" x14ac:dyDescent="0.3">
      <c r="A36" s="29" t="s">
        <v>29</v>
      </c>
    </row>
    <row r="37" spans="1:1" x14ac:dyDescent="0.3">
      <c r="A37" s="26" t="s">
        <v>3</v>
      </c>
    </row>
    <row r="38" spans="1:1" ht="28.8" x14ac:dyDescent="0.3">
      <c r="A38" s="27" t="s">
        <v>52</v>
      </c>
    </row>
    <row r="39" spans="1:1" ht="28.8" x14ac:dyDescent="0.3">
      <c r="A39" s="27" t="s">
        <v>53</v>
      </c>
    </row>
    <row r="40" spans="1:1" ht="28.8" x14ac:dyDescent="0.3">
      <c r="A40" s="27" t="s">
        <v>54</v>
      </c>
    </row>
    <row r="41" spans="1:1" ht="43.2" x14ac:dyDescent="0.3">
      <c r="A41" s="27" t="s">
        <v>55</v>
      </c>
    </row>
    <row r="43" spans="1:1" x14ac:dyDescent="0.3">
      <c r="A43" s="30" t="s">
        <v>30</v>
      </c>
    </row>
    <row r="44" spans="1:1" x14ac:dyDescent="0.3">
      <c r="A44" s="26" t="s">
        <v>3</v>
      </c>
    </row>
    <row r="45" spans="1:1" ht="28.8" x14ac:dyDescent="0.3">
      <c r="A45" s="27" t="s">
        <v>56</v>
      </c>
    </row>
    <row r="46" spans="1:1" ht="15" customHeight="1" x14ac:dyDescent="0.3">
      <c r="A46" s="27" t="s">
        <v>57</v>
      </c>
    </row>
    <row r="47" spans="1:1" ht="15" customHeight="1" x14ac:dyDescent="0.3">
      <c r="A47" s="27" t="s">
        <v>58</v>
      </c>
    </row>
    <row r="48" spans="1:1" ht="43.2" x14ac:dyDescent="0.3">
      <c r="A48" s="27" t="s">
        <v>59</v>
      </c>
    </row>
    <row r="49" spans="1:1" x14ac:dyDescent="0.3">
      <c r="A49" s="27"/>
    </row>
    <row r="50" spans="1:1" x14ac:dyDescent="0.3">
      <c r="A50" s="30" t="s">
        <v>31</v>
      </c>
    </row>
    <row r="51" spans="1:1" x14ac:dyDescent="0.3">
      <c r="A51" s="26" t="s">
        <v>3</v>
      </c>
    </row>
    <row r="52" spans="1:1" ht="28.8" x14ac:dyDescent="0.3">
      <c r="A52" s="27" t="s">
        <v>60</v>
      </c>
    </row>
    <row r="53" spans="1:1" ht="28.8" x14ac:dyDescent="0.3">
      <c r="A53" s="27" t="s">
        <v>61</v>
      </c>
    </row>
    <row r="54" spans="1:1" ht="28.8" x14ac:dyDescent="0.3">
      <c r="A54" s="27" t="s">
        <v>62</v>
      </c>
    </row>
    <row r="55" spans="1:1" ht="43.2" x14ac:dyDescent="0.3">
      <c r="A55" s="27" t="s">
        <v>63</v>
      </c>
    </row>
    <row r="56" spans="1:1" x14ac:dyDescent="0.3">
      <c r="A56" s="30"/>
    </row>
    <row r="57" spans="1:1" x14ac:dyDescent="0.3">
      <c r="A57" s="30" t="s">
        <v>73</v>
      </c>
    </row>
    <row r="58" spans="1:1" x14ac:dyDescent="0.3">
      <c r="A58" s="26" t="s">
        <v>3</v>
      </c>
    </row>
    <row r="59" spans="1:1" ht="28.8" x14ac:dyDescent="0.3">
      <c r="A59" s="32" t="s">
        <v>74</v>
      </c>
    </row>
    <row r="60" spans="1:1" ht="28.8" x14ac:dyDescent="0.3">
      <c r="A60" s="32" t="s">
        <v>75</v>
      </c>
    </row>
    <row r="61" spans="1:1" ht="43.2" x14ac:dyDescent="0.3">
      <c r="A61" s="32" t="s">
        <v>76</v>
      </c>
    </row>
    <row r="62" spans="1:1" ht="28.8" x14ac:dyDescent="0.3">
      <c r="A62" s="3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3082-2D98-479D-91A3-A0ED8123DAE7}">
  <dimension ref="A1:D13"/>
  <sheetViews>
    <sheetView workbookViewId="0">
      <selection activeCell="E19" sqref="E19"/>
    </sheetView>
  </sheetViews>
  <sheetFormatPr defaultRowHeight="14.4" x14ac:dyDescent="0.3"/>
  <cols>
    <col min="1" max="1" width="40.109375" bestFit="1" customWidth="1"/>
    <col min="2" max="2" width="10.33203125" bestFit="1" customWidth="1"/>
    <col min="3" max="3" width="10.21875" bestFit="1" customWidth="1"/>
    <col min="4" max="4" width="14.33203125" bestFit="1" customWidth="1"/>
    <col min="5" max="5" width="40.109375" bestFit="1" customWidth="1"/>
    <col min="6" max="6" width="23.77734375" bestFit="1" customWidth="1"/>
    <col min="7" max="7" width="13.21875" bestFit="1" customWidth="1"/>
  </cols>
  <sheetData>
    <row r="1" spans="1:4" x14ac:dyDescent="0.3">
      <c r="A1" s="20" t="s">
        <v>64</v>
      </c>
      <c r="B1" s="21" t="s">
        <v>65</v>
      </c>
      <c r="C1" s="24" t="s">
        <v>66</v>
      </c>
      <c r="D1" s="2" t="s">
        <v>67</v>
      </c>
    </row>
    <row r="2" spans="1:4" x14ac:dyDescent="0.3">
      <c r="A2" s="1" t="s">
        <v>14</v>
      </c>
      <c r="B2" s="22">
        <f>IF('IA Criticality Assessment Templ'!A27="Score (1-4): Please select from the drop down list.",0,IF('IA Criticality Assessment Templ'!A27="1: Low - Minimal or no impact on business operations. Temporary loss tolerated without disrupting core services or compliance obligations.",1,IF('IA Criticality Assessment Templ'!A27="2: Moderate - Limited impact; some inconvenience or degradation in performance. Operations can continue using workarounds or alternate systems.",2,IF('IA Criticality Assessment Templ'!A27="3: High - Significant disruption to key processes or customer-facing services. Financial, reputational, or compliance impact if not restored promptly.",3,IF('IA Criticality Assessment Templ'!A27="4: Mission-Critical - Outage or compromise causes complete halt of critical business operations, major financial/reputational damage, or regulatory violation. Continuous availability essential.",4)))))</f>
        <v>4</v>
      </c>
      <c r="C2" s="3">
        <v>15</v>
      </c>
      <c r="D2" s="3">
        <f>B2*C2/100</f>
        <v>0.6</v>
      </c>
    </row>
    <row r="3" spans="1:4" x14ac:dyDescent="0.3">
      <c r="A3" s="1" t="s">
        <v>27</v>
      </c>
      <c r="B3" s="23">
        <f>IF('IA Criticality Assessment Templ'!B27="Score (1-4): Please select from the drop down list.",0,IF('IA Criticality Assessment Templ'!B27="1: Low - Supports only non-essential or isolated services. Dependencies are minimal and easily rerouted.",1,IF('IA Criticality Assessment Templ'!B27="2: Moderate - Supports a few important services or systems, but alternatives exist. Failure causes limited service degradation.",2,IF('IA Criticality Assessment Templ'!B27="3: High - Supports several critical services or shared infrastructure functions. Failure disrupts multiple business processes.",3,IF('IA Criticality Assessment Templ'!B27="4: Mission-Critical - Core dependency for mission-critical applications or enterprise-wide functions. Its failure halts multiple essential services simultaneously.",4)))))</f>
        <v>4</v>
      </c>
      <c r="C3" s="3">
        <v>12</v>
      </c>
      <c r="D3" s="3">
        <f t="shared" ref="D3:D10" si="0">B3*C3/100</f>
        <v>0.48</v>
      </c>
    </row>
    <row r="4" spans="1:4" x14ac:dyDescent="0.3">
      <c r="A4" s="1" t="s">
        <v>17</v>
      </c>
      <c r="B4" s="23">
        <f>IF('IA Criticality Assessment Templ'!A29="Score (1-4): Please select from the drop down list.",0,IF('IA Criticality Assessment Templ'!A29="1: Low - Processes non-sensitive data (e.g., public or test data) with no confidentiality or compliance requirements.",1,IF('IA Criticality Assessment Templ'!A29="2: Moderate - Handles internal-use data with limited sensitivity. Unauthorized disclosure would cause minor operational inconvenience.",2,IF('IA Criticality Assessment Templ'!A29="3: High - Processes confidential or restricted data. Compromise could lead to compliance concerns or reputational damage.",3,IF('IA Criticality Assessment Templ'!A29="4: Mission-Critical - Handles highly confidential, regulated, or customer-identifiable data. Breach would result in severe financial, legal, or regulatory consequences.",4)))))</f>
        <v>3</v>
      </c>
      <c r="C4" s="3">
        <v>12</v>
      </c>
      <c r="D4" s="3">
        <f t="shared" si="0"/>
        <v>0.36</v>
      </c>
    </row>
    <row r="5" spans="1:4" x14ac:dyDescent="0.3">
      <c r="A5" s="1" t="s">
        <v>28</v>
      </c>
      <c r="B5" s="23">
        <f>IF('IA Criticality Assessment Templ'!B29="Score (1-4): Please select from the drop down list.",0,IF('IA Criticality Assessment Templ'!B29="1: Low - Fully redundant or highly resilient; multiple failover mechanisms exist. Minimal risk of single point of failure.",1,IF('IA Criticality Assessment Templ'!B29="2: Moderate - Partial redundancy exists; manual intervention required during failover. Short downtime possible.",2,IF('IA Criticality Assessment Templ'!B29="3: High - Limited redundancy; failover options are delayed or not automatic. Outage duration may be moderate.",3,IF('IA Criticality Assessment Templ'!B29="4: Mission-Critical - No redundancy or failover capability. Failure directly results in immediate and total service outage.",4)))))</f>
        <v>2</v>
      </c>
      <c r="C5" s="3">
        <v>10</v>
      </c>
      <c r="D5" s="3">
        <f t="shared" si="0"/>
        <v>0.2</v>
      </c>
    </row>
    <row r="6" spans="1:4" x14ac:dyDescent="0.3">
      <c r="A6" s="1" t="s">
        <v>20</v>
      </c>
      <c r="B6" s="23">
        <f>IF('IA Criticality Assessment Templ'!A31="Score (1-4): Please select from the drop down list.",0,IF('IA Criticality Assessment Templ'!A31="1: Low - RTO greater than 48 hours; recovery can be delayed without material impact.",1,IF('IA Criticality Assessment Templ'!A31="2: Moderate - RTO between 8 and 48 hours; short-term disruption acceptable.",2,IF('IA Criticality Assessment Templ'!A31="3: High - RTO between 1 and 8 hours; rapid restoration needed to avoid significant business impact.",3,IF('IA Criticality Assessment Templ'!A31="4: Mission-Critical - RTO less than 1 hour; immediate recovery required to sustain essential operations.",4)))))</f>
        <v>2</v>
      </c>
      <c r="C6" s="3">
        <v>10</v>
      </c>
      <c r="D6" s="3">
        <f t="shared" si="0"/>
        <v>0.2</v>
      </c>
    </row>
    <row r="7" spans="1:4" x14ac:dyDescent="0.3">
      <c r="A7" s="1" t="s">
        <v>29</v>
      </c>
      <c r="B7" s="23">
        <f>IF('IA Criticality Assessment Templ'!B31="Score (1-4): Please select from the drop down list.",0,IF('IA Criticality Assessment Templ'!B31="1: Low - Availability requirement &lt; 95%. Short downtime acceptable.",1,IF('IA Criticality Assessment Templ'!B31="2: Moderate - Availability requirement between 95%–98%. Occasional outages tolerated.",2,IF('IA Criticality Assessment Templ'!B31="3: High - Availability requirement between 98%–99.9%. Limited maintenance windows allowed.",3,IF('IA Criticality Assessment Templ'!B31="4: Mission-Critical - Availability requirement ≥ 99.9%. Continuous operation required with near-zero tolerance for downtime.",4)))))</f>
        <v>3</v>
      </c>
      <c r="C7" s="3">
        <v>10</v>
      </c>
      <c r="D7" s="3">
        <f t="shared" si="0"/>
        <v>0.3</v>
      </c>
    </row>
    <row r="8" spans="1:4" x14ac:dyDescent="0.3">
      <c r="A8" s="1" t="s">
        <v>30</v>
      </c>
      <c r="B8" s="23">
        <f>IF('IA Criticality Assessment Templ'!A33="Score (1-4): Please select from the drop down list.",0,IF('IA Criticality Assessment Templ'!A33="1: Low - Minimal operational disturbance. No customer impact or SLA breach.",1,IF('IA Criticality Assessment Templ'!A33="2: Moderate - Limited disruption; minor service delays or performance degradation.",2,IF('IA Criticality Assessment Templ'!A33="3: High - Major operational impact; affects multiple users or departments. Service restoration becomes a priority.",3,IF('IA Criticality Assessment Templ'!A33="4: Mission-Critical - Complete service outage or severe operational breakdown. Business operations severely impacted until recovery.",4)))))</f>
        <v>4</v>
      </c>
      <c r="C8" s="3">
        <v>10</v>
      </c>
      <c r="D8" s="3">
        <f t="shared" si="0"/>
        <v>0.4</v>
      </c>
    </row>
    <row r="9" spans="1:4" x14ac:dyDescent="0.3">
      <c r="A9" s="1" t="s">
        <v>31</v>
      </c>
      <c r="B9" s="23">
        <f>IF('IA Criticality Assessment Templ'!B33="Score (1-4): Please select from the drop down list.",0,IF('IA Criticality Assessment Templ'!B33="1: Low - No direct link to regulatory or compliance requirements.",1,IF('IA Criticality Assessment Templ'!B33="2: Moderate - Indirectly supports compliance (e.g., supporting infrastructure for a compliant system).",2,IF('IA Criticality Assessment Templ'!B33="3: High - Directly supports regulated processes or data handling. Non-compliance possible if unavailable.",3,IF('IA Criticality Assessment Templ'!B33="4: Mission-Critical - Essential for maintaining compliance (e.g., audit logging, encryption, or data protection systems). Failure results in immediate non-compliance.",4)))))</f>
        <v>3</v>
      </c>
      <c r="C9" s="3">
        <v>11</v>
      </c>
      <c r="D9" s="3">
        <f t="shared" si="0"/>
        <v>0.33</v>
      </c>
    </row>
    <row r="10" spans="1:4" x14ac:dyDescent="0.3">
      <c r="A10" s="1" t="s">
        <v>79</v>
      </c>
      <c r="B10" s="3">
        <f>IF('IA Criticality Assessment Templ'!A35="Score (1-4): Please select from the drop down list.",0,IF('IA Criticality Assessment Templ'!A35="1: Low – Internally Accessible Only -Accessible only within the internal network; no external connectivity.",1,IF('IA Criticality Assessment Templ'!A35="2: Moderate – Screened - Limited external access through controlled, secured network zones.",2,IF('IA Criticality Assessment Templ'!A35="3: High – Whitelisted External Access - Externally accessible to specific trusted sources or IPs under strict control.",3,IF('IA Criticality Assessment Templ'!A35="4: Mission-Critical – Publicly Exposed - Publicly or widely accessible over the internet; high exposure risk.",4)))))</f>
        <v>2</v>
      </c>
      <c r="C10" s="3">
        <v>10</v>
      </c>
      <c r="D10" s="3">
        <f t="shared" si="0"/>
        <v>0.2</v>
      </c>
    </row>
    <row r="11" spans="1:4" x14ac:dyDescent="0.3">
      <c r="B11" s="46" t="s">
        <v>7</v>
      </c>
      <c r="C11" s="46"/>
      <c r="D11" s="33">
        <f>SUM(D2:D10)</f>
        <v>3.07</v>
      </c>
    </row>
    <row r="13" spans="1:4" x14ac:dyDescent="0.3">
      <c r="A13" s="4"/>
      <c r="B13" s="47" t="s">
        <v>68</v>
      </c>
      <c r="C13" s="47"/>
      <c r="D13" s="3" t="str">
        <f>IF(D11&gt;=3.5,"Mission-Critical",IF(D11&gt;=2.5,"High",IF(D11&gt;=1.5,"Moderate","Low")))</f>
        <v>High</v>
      </c>
    </row>
  </sheetData>
  <mergeCells count="2">
    <mergeCell ref="B11:C11"/>
    <mergeCell ref="B13:C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IA Criticality Assessment Templ</vt:lpstr>
      <vt:lpstr>Selection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Amir</dc:creator>
  <cp:lastModifiedBy>Atif Amir</cp:lastModifiedBy>
  <cp:lastPrinted>2025-01-02T06:46:13Z</cp:lastPrinted>
  <dcterms:created xsi:type="dcterms:W3CDTF">2024-12-27T05:58:42Z</dcterms:created>
  <dcterms:modified xsi:type="dcterms:W3CDTF">2025-11-10T11:02:10Z</dcterms:modified>
</cp:coreProperties>
</file>