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BL\IS Policy and ISMS Project\ISMS Documentation\5.12 Classification of information\"/>
    </mc:Choice>
  </mc:AlternateContent>
  <xr:revisionPtr revIDLastSave="0" documentId="13_ncr:1_{A3B8F3D9-2208-4725-B7B1-749989D83C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iticality Assessment" sheetId="4" r:id="rId1"/>
    <sheet name="Selection" sheetId="2" state="hidden" r:id="rId2"/>
    <sheet name="Calculation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8" i="3"/>
  <c r="B7" i="3"/>
  <c r="B6" i="3"/>
  <c r="B5" i="3"/>
  <c r="B4" i="3"/>
  <c r="B3" i="3"/>
  <c r="B1" i="3"/>
  <c r="B9" i="3" l="1"/>
  <c r="A33" i="4" l="1"/>
  <c r="B33" i="4" s="1"/>
</calcChain>
</file>

<file path=xl/sharedStrings.xml><?xml version="1.0" encoding="utf-8"?>
<sst xmlns="http://schemas.openxmlformats.org/spreadsheetml/2006/main" count="94" uniqueCount="58">
  <si>
    <t>Operational Dependency</t>
  </si>
  <si>
    <t>Financial Impact</t>
  </si>
  <si>
    <t>Customer/Stakeholder Impact</t>
  </si>
  <si>
    <t>Data Sensitivity and Data Breach Risk</t>
  </si>
  <si>
    <t>Unauthorized Access or Data Manipulation Risk</t>
  </si>
  <si>
    <t>RTO and RPO Requirements</t>
  </si>
  <si>
    <t>Comments/Notes</t>
  </si>
  <si>
    <t>System Description</t>
  </si>
  <si>
    <t>1: Low - System is rarely used or has minimal operational importance.</t>
  </si>
  <si>
    <t>2: Moderate - System provides convenience but is not essential.</t>
  </si>
  <si>
    <t>3: High - System is heavily relied upon but alternatives exist temporarily.</t>
  </si>
  <si>
    <t>4: Mission-Critical - System is indispensable for daily operations or business continuity.</t>
  </si>
  <si>
    <t>1: Low - Negligible financial consequences.</t>
  </si>
  <si>
    <t>2: Moderate - Minimal financial impact.</t>
  </si>
  <si>
    <t>3: High - Issues cause moderate financial repercussions.</t>
  </si>
  <si>
    <t>4: Mission-Critical - Failure results in substantial financial losses.</t>
  </si>
  <si>
    <t>1: Low - Negligible or no stakeholder impact.</t>
  </si>
  <si>
    <t>2: Moderate - Limited effect on a small group of stakeholders.</t>
  </si>
  <si>
    <t>3: High - Impacts multiple stakeholders noticeably.</t>
  </si>
  <si>
    <t>4: Mission-Critical - Directly affects a large majority of customers or stakeholders.</t>
  </si>
  <si>
    <t>1: Low - Contains minimal or non-sensitive data with negligible breach consequences.</t>
  </si>
  <si>
    <t>2: Moderate - Handles moderately sensitive data with manageable breach impact.</t>
  </si>
  <si>
    <t>3: High - Processes sensitive data, and a breach would have significant consequences.</t>
  </si>
  <si>
    <t>4: Mission-Critical - Handles highly sensitive data where a breach could cause severe regulatory, financial, or reputational damage.</t>
  </si>
  <si>
    <t>1: Low - Minimal impact from unauthorized access or manipulation.</t>
  </si>
  <si>
    <t>2: Moderate - Manipulation or unauthorized access causes manageable disruptions or issues.</t>
  </si>
  <si>
    <t>3: High - Unauthorized actions would have significant but less severe consequences.</t>
  </si>
  <si>
    <t>4: Mission-Critical - Unauthorized access or manipulation could lead to severe operational disruption, legal consequences, or significant reputational damage.</t>
  </si>
  <si>
    <t>1: Low - Systems tolerate extended RTO and RPO, as delays and data loss have minimal impact.</t>
  </si>
  <si>
    <t>2: Moderate - Systems have flexible RTO and RPO, with longer acceptable recovery times and data loss thresholds.</t>
  </si>
  <si>
    <t>3: High - Systems allow slightly extended RTO and RPO but still require quick recovery and data restoration.</t>
  </si>
  <si>
    <t>4: Mission-Critical - Systems demand near-zero RTO and RPO, indicating an urgent need for rapid recovery and minimal data loss.</t>
  </si>
  <si>
    <t>Space for additional comments or justification for scores</t>
  </si>
  <si>
    <t>Internet Facing</t>
  </si>
  <si>
    <t>0: No</t>
  </si>
  <si>
    <t>4:Yes</t>
  </si>
  <si>
    <t>2:Yes,Whitelisted</t>
  </si>
  <si>
    <t>B2B Exposure</t>
  </si>
  <si>
    <t>0:No</t>
  </si>
  <si>
    <t>Information System Criticality Assessment</t>
  </si>
  <si>
    <t>Name of Information System</t>
  </si>
  <si>
    <t>Business Owner</t>
  </si>
  <si>
    <t>E-Mail</t>
  </si>
  <si>
    <t>Score (1-4): Please select from the drop down list.</t>
  </si>
  <si>
    <t>Score (0-4): Please select from the drop down list.</t>
  </si>
  <si>
    <t>Designation</t>
  </si>
  <si>
    <t>Date of Assessment</t>
  </si>
  <si>
    <t>dd/mm/YYYY</t>
  </si>
  <si>
    <t>Total Score</t>
  </si>
  <si>
    <t>Criticality Level</t>
  </si>
  <si>
    <t>Contact # (Ext/Cell)</t>
  </si>
  <si>
    <t>24-32: Mission-Critical
19-23: High-Criticality
13-18: Moderate-Criticality
6-12: Low-Criticality</t>
  </si>
  <si>
    <t>Service Owner/Service or Delivery Manager</t>
  </si>
  <si>
    <t>Business Owner Contact Person Name</t>
  </si>
  <si>
    <t>B2B Exposure ( Connectivity or Integration with 3rd Parties)</t>
  </si>
  <si>
    <r>
      <t xml:space="preserve">Address </t>
    </r>
    <r>
      <rPr>
        <b/>
        <i/>
        <sz val="9"/>
        <color theme="1"/>
        <rFont val="Calibri"/>
        <family val="2"/>
        <scheme val="minor"/>
      </rPr>
      <t>(URL or IP Address)</t>
    </r>
  </si>
  <si>
    <r>
      <t xml:space="preserve">Contact # </t>
    </r>
    <r>
      <rPr>
        <b/>
        <i/>
        <sz val="9"/>
        <color theme="1"/>
        <rFont val="Calibri"/>
        <family val="2"/>
        <scheme val="minor"/>
      </rPr>
      <t>(Ext/Cell)</t>
    </r>
  </si>
  <si>
    <t>Name of Accessors (IT/IS)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</si>
</sst>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2" borderId="1" xfId="0" applyFill="1" applyBorder="1" applyAlignment="1" applyProtection="1">
      <alignment vertical="center" wrapText="1"/>
      <protection locked="0"/>
    </xf>
    <xf numFmtId="0" fontId="0" fillId="3" borderId="1" xfId="0" applyFill="1" applyBorder="1" applyAlignment="1" applyProtection="1">
      <alignment vertical="center" wrapText="1"/>
      <protection locked="0"/>
    </xf>
    <xf numFmtId="1" fontId="0" fillId="3" borderId="1" xfId="0" applyNumberFormat="1" applyFill="1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4" fontId="4" fillId="4" borderId="1" xfId="0" applyNumberFormat="1" applyFont="1" applyFill="1" applyBorder="1" applyAlignment="1" applyProtection="1">
      <alignment vertical="center"/>
      <protection locked="0"/>
    </xf>
    <xf numFmtId="0" fontId="1" fillId="4" borderId="1" xfId="0" applyFont="1" applyFill="1" applyBorder="1"/>
    <xf numFmtId="0" fontId="0" fillId="4" borderId="1" xfId="0" applyFill="1" applyBorder="1" applyProtection="1">
      <protection locked="0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7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4"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2</xdr:col>
      <xdr:colOff>7620</xdr:colOff>
      <xdr:row>2</xdr:row>
      <xdr:rowOff>135890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151173-C751-48E4-88FB-0E9AB16B4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"/>
          <a:ext cx="11087100" cy="4559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3A38-05D5-4BEA-998F-2CC48DF23F38}">
  <dimension ref="A1:B35"/>
  <sheetViews>
    <sheetView tabSelected="1" workbookViewId="0">
      <selection activeCell="B31" sqref="B31"/>
    </sheetView>
  </sheetViews>
  <sheetFormatPr defaultRowHeight="14.4" x14ac:dyDescent="0.3"/>
  <cols>
    <col min="1" max="3" width="80.77734375" customWidth="1"/>
  </cols>
  <sheetData>
    <row r="1" spans="1:2" x14ac:dyDescent="0.3">
      <c r="A1" s="30"/>
      <c r="B1" s="30"/>
    </row>
    <row r="2" spans="1:2" x14ac:dyDescent="0.3">
      <c r="A2" s="30"/>
      <c r="B2" s="30"/>
    </row>
    <row r="3" spans="1:2" x14ac:dyDescent="0.3">
      <c r="A3" s="30"/>
      <c r="B3" s="30"/>
    </row>
    <row r="4" spans="1:2" x14ac:dyDescent="0.3">
      <c r="A4" s="31" t="s">
        <v>39</v>
      </c>
      <c r="B4" s="31"/>
    </row>
    <row r="5" spans="1:2" x14ac:dyDescent="0.3">
      <c r="A5" s="31"/>
      <c r="B5" s="31"/>
    </row>
    <row r="6" spans="1:2" x14ac:dyDescent="0.3">
      <c r="A6" s="31"/>
      <c r="B6" s="31"/>
    </row>
    <row r="7" spans="1:2" x14ac:dyDescent="0.3">
      <c r="A7" s="21" t="s">
        <v>40</v>
      </c>
      <c r="B7" s="12"/>
    </row>
    <row r="8" spans="1:2" x14ac:dyDescent="0.3">
      <c r="A8" s="22" t="s">
        <v>7</v>
      </c>
      <c r="B8" s="12"/>
    </row>
    <row r="9" spans="1:2" x14ac:dyDescent="0.3">
      <c r="A9" s="23" t="s">
        <v>55</v>
      </c>
      <c r="B9" s="12"/>
    </row>
    <row r="10" spans="1:2" x14ac:dyDescent="0.3">
      <c r="A10" s="24" t="s">
        <v>41</v>
      </c>
      <c r="B10" s="18"/>
    </row>
    <row r="11" spans="1:2" x14ac:dyDescent="0.3">
      <c r="A11" s="24" t="s">
        <v>53</v>
      </c>
      <c r="B11" s="18"/>
    </row>
    <row r="12" spans="1:2" x14ac:dyDescent="0.3">
      <c r="A12" s="24" t="s">
        <v>45</v>
      </c>
      <c r="B12" s="18"/>
    </row>
    <row r="13" spans="1:2" x14ac:dyDescent="0.3">
      <c r="A13" s="24" t="s">
        <v>50</v>
      </c>
      <c r="B13" s="18"/>
    </row>
    <row r="14" spans="1:2" x14ac:dyDescent="0.3">
      <c r="A14" s="24" t="s">
        <v>42</v>
      </c>
      <c r="B14" s="18"/>
    </row>
    <row r="15" spans="1:2" x14ac:dyDescent="0.3">
      <c r="A15" s="25" t="s">
        <v>57</v>
      </c>
      <c r="B15" s="19"/>
    </row>
    <row r="16" spans="1:2" x14ac:dyDescent="0.3">
      <c r="A16" s="25" t="s">
        <v>45</v>
      </c>
      <c r="B16" s="19"/>
    </row>
    <row r="17" spans="1:2" x14ac:dyDescent="0.3">
      <c r="A17" s="25" t="s">
        <v>56</v>
      </c>
      <c r="B17" s="20"/>
    </row>
    <row r="18" spans="1:2" x14ac:dyDescent="0.3">
      <c r="A18" s="25" t="s">
        <v>42</v>
      </c>
      <c r="B18" s="19"/>
    </row>
    <row r="19" spans="1:2" x14ac:dyDescent="0.3">
      <c r="A19" s="26" t="s">
        <v>46</v>
      </c>
      <c r="B19" s="27" t="s">
        <v>47</v>
      </c>
    </row>
    <row r="20" spans="1:2" x14ac:dyDescent="0.3">
      <c r="A20" s="26" t="s">
        <v>52</v>
      </c>
      <c r="B20" s="27"/>
    </row>
    <row r="21" spans="1:2" x14ac:dyDescent="0.3">
      <c r="A21" s="26" t="s">
        <v>45</v>
      </c>
      <c r="B21" s="27"/>
    </row>
    <row r="22" spans="1:2" x14ac:dyDescent="0.3">
      <c r="A22" s="26" t="s">
        <v>50</v>
      </c>
      <c r="B22" s="27"/>
    </row>
    <row r="23" spans="1:2" x14ac:dyDescent="0.3">
      <c r="A23" s="28" t="s">
        <v>42</v>
      </c>
      <c r="B23" s="29"/>
    </row>
    <row r="24" spans="1:2" x14ac:dyDescent="0.3">
      <c r="A24" s="13" t="s">
        <v>0</v>
      </c>
      <c r="B24" s="13" t="s">
        <v>1</v>
      </c>
    </row>
    <row r="25" spans="1:2" x14ac:dyDescent="0.3">
      <c r="A25" s="14" t="s">
        <v>43</v>
      </c>
      <c r="B25" s="14" t="s">
        <v>43</v>
      </c>
    </row>
    <row r="26" spans="1:2" x14ac:dyDescent="0.3">
      <c r="A26" s="13" t="s">
        <v>2</v>
      </c>
      <c r="B26" s="13" t="s">
        <v>3</v>
      </c>
    </row>
    <row r="27" spans="1:2" x14ac:dyDescent="0.3">
      <c r="A27" s="14" t="s">
        <v>43</v>
      </c>
      <c r="B27" s="14" t="s">
        <v>43</v>
      </c>
    </row>
    <row r="28" spans="1:2" x14ac:dyDescent="0.3">
      <c r="A28" s="13" t="s">
        <v>4</v>
      </c>
      <c r="B28" s="13" t="s">
        <v>5</v>
      </c>
    </row>
    <row r="29" spans="1:2" x14ac:dyDescent="0.3">
      <c r="A29" s="14" t="s">
        <v>43</v>
      </c>
      <c r="B29" s="14" t="s">
        <v>43</v>
      </c>
    </row>
    <row r="30" spans="1:2" x14ac:dyDescent="0.3">
      <c r="A30" s="13" t="s">
        <v>33</v>
      </c>
      <c r="B30" s="13" t="s">
        <v>54</v>
      </c>
    </row>
    <row r="31" spans="1:2" x14ac:dyDescent="0.3">
      <c r="A31" s="14" t="s">
        <v>34</v>
      </c>
      <c r="B31" s="14" t="s">
        <v>44</v>
      </c>
    </row>
    <row r="32" spans="1:2" x14ac:dyDescent="0.3">
      <c r="A32" s="15" t="s">
        <v>48</v>
      </c>
      <c r="B32" s="15" t="s">
        <v>49</v>
      </c>
    </row>
    <row r="33" spans="1:2" ht="61.2" x14ac:dyDescent="0.3">
      <c r="A33" s="16">
        <f>Calculation!B9</f>
        <v>0</v>
      </c>
      <c r="B33" s="17" t="str">
        <f>IF(AND(A33&gt;=24,A36&lt;=26),"Mission-Critical",IF(AND(A33&gt;=19,A33&lt;=23)," High-Criticality",IF(AND(A33&gt;=13,A33&lt;=18)," Moderate-Criticality",IF(AND(A33&gt;=6,A33&lt;=12)," Low-Criticality",""))))</f>
        <v/>
      </c>
    </row>
    <row r="34" spans="1:2" x14ac:dyDescent="0.3">
      <c r="A34" s="32" t="s">
        <v>6</v>
      </c>
      <c r="B34" s="32"/>
    </row>
    <row r="35" spans="1:2" x14ac:dyDescent="0.3">
      <c r="A35" s="33" t="s">
        <v>32</v>
      </c>
      <c r="B35" s="33"/>
    </row>
  </sheetData>
  <sheetProtection algorithmName="SHA-512" hashValue="wRfMjERQnKEXzsDdNLc2pq5E2dgYDYPzriyf6T5W6eQaBqHKP7ViOyHwOdjY3KhmujQellY/9x4XpDJNEuQ5oQ==" saltValue="j4QImMSboDHZt9PHCEpkew==" spinCount="100000" sheet="1" objects="1" scenarios="1"/>
  <mergeCells count="4">
    <mergeCell ref="A1:B3"/>
    <mergeCell ref="A4:B6"/>
    <mergeCell ref="A34:B34"/>
    <mergeCell ref="A35:B35"/>
  </mergeCells>
  <conditionalFormatting sqref="B33">
    <cfRule type="expression" dxfId="3" priority="1">
      <formula>AND(A33&gt;=6, A33&lt;=12)</formula>
    </cfRule>
    <cfRule type="expression" dxfId="2" priority="2">
      <formula>AND(A33&gt;=13, A33&lt;=18)</formula>
    </cfRule>
    <cfRule type="expression" dxfId="1" priority="3">
      <formula>AND(A33&gt;=19, A33&lt;=23)</formula>
    </cfRule>
    <cfRule type="expression" dxfId="0" priority="4">
      <formula>AND(A33&gt;=24, A33&lt;=32)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C612156-D068-4791-AD21-C4B206E2B0F8}">
          <x14:formula1>
            <xm:f>Selection!$A$37:$A$41</xm:f>
          </x14:formula1>
          <xm:sqref>B29</xm:sqref>
        </x14:dataValidation>
        <x14:dataValidation type="list" allowBlank="1" showErrorMessage="1" xr:uid="{45036963-6FC6-4A68-810A-89237D7BF714}">
          <x14:formula1>
            <xm:f>Selection!$A$2:$A$6</xm:f>
          </x14:formula1>
          <xm:sqref>A25</xm:sqref>
        </x14:dataValidation>
        <x14:dataValidation type="list" allowBlank="1" showInputMessage="1" showErrorMessage="1" xr:uid="{D7496F69-44A6-46E5-A833-7E749F5D5C70}">
          <x14:formula1>
            <xm:f>Selection!$A$50:$A$52</xm:f>
          </x14:formula1>
          <xm:sqref>B31</xm:sqref>
        </x14:dataValidation>
        <x14:dataValidation type="list" allowBlank="1" showInputMessage="1" showErrorMessage="1" xr:uid="{EC429E25-AF92-48BE-864E-0518B7CB5370}">
          <x14:formula1>
            <xm:f>Selection!$A$44:$A$47</xm:f>
          </x14:formula1>
          <xm:sqref>A31</xm:sqref>
        </x14:dataValidation>
        <x14:dataValidation type="list" allowBlank="1" showInputMessage="1" showErrorMessage="1" xr:uid="{AD82B4CC-496F-4AA2-B5E3-E56BA529E9B5}">
          <x14:formula1>
            <xm:f>Selection!$A$30:$A$34</xm:f>
          </x14:formula1>
          <xm:sqref>A29</xm:sqref>
        </x14:dataValidation>
        <x14:dataValidation type="list" allowBlank="1" showInputMessage="1" showErrorMessage="1" xr:uid="{9F802CF1-CA57-456A-9D6A-8440E5B420FB}">
          <x14:formula1>
            <xm:f>Selection!$A$23:$A$27</xm:f>
          </x14:formula1>
          <xm:sqref>B27</xm:sqref>
        </x14:dataValidation>
        <x14:dataValidation type="list" allowBlank="1" showInputMessage="1" showErrorMessage="1" xr:uid="{EFDB6388-F5CA-44ED-BC2C-CE8FFD24E222}">
          <x14:formula1>
            <xm:f>Selection!$A$16:$A$20</xm:f>
          </x14:formula1>
          <xm:sqref>A27</xm:sqref>
        </x14:dataValidation>
        <x14:dataValidation type="list" allowBlank="1" showInputMessage="1" showErrorMessage="1" xr:uid="{CE849E32-4FED-43DB-A1E1-411E3DC2F181}">
          <x14:formula1>
            <xm:f>Selection!$A$9:$A$13</xm:f>
          </x14:formula1>
          <xm:sqref>B25</xm:sqref>
        </x14:dataValidation>
        <x14:dataValidation type="list" allowBlank="1" showErrorMessage="1" xr:uid="{83252988-3F94-4115-89DF-C9BD58C2D8EA}">
          <x14:formula1>
            <xm:f>Selection!$A$9:$A$13</xm:f>
          </x14:formula1>
          <xm:sqref>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F64C-3795-402D-BC7E-277E6DC8076E}">
  <dimension ref="A1:A52"/>
  <sheetViews>
    <sheetView workbookViewId="0">
      <selection activeCell="A58" sqref="A58"/>
    </sheetView>
  </sheetViews>
  <sheetFormatPr defaultRowHeight="14.4" x14ac:dyDescent="0.3"/>
  <cols>
    <col min="1" max="1" width="131.44140625" bestFit="1" customWidth="1"/>
    <col min="2" max="2" width="53.77734375" bestFit="1" customWidth="1"/>
  </cols>
  <sheetData>
    <row r="1" spans="1:1" x14ac:dyDescent="0.3">
      <c r="A1" s="5" t="s">
        <v>0</v>
      </c>
    </row>
    <row r="2" spans="1:1" x14ac:dyDescent="0.3">
      <c r="A2" s="3" t="s">
        <v>43</v>
      </c>
    </row>
    <row r="3" spans="1:1" x14ac:dyDescent="0.3">
      <c r="A3" s="1" t="s">
        <v>8</v>
      </c>
    </row>
    <row r="4" spans="1:1" x14ac:dyDescent="0.3">
      <c r="A4" s="1" t="s">
        <v>9</v>
      </c>
    </row>
    <row r="5" spans="1:1" x14ac:dyDescent="0.3">
      <c r="A5" s="1" t="s">
        <v>10</v>
      </c>
    </row>
    <row r="6" spans="1:1" x14ac:dyDescent="0.3">
      <c r="A6" s="1" t="s">
        <v>11</v>
      </c>
    </row>
    <row r="8" spans="1:1" x14ac:dyDescent="0.3">
      <c r="A8" s="5" t="s">
        <v>1</v>
      </c>
    </row>
    <row r="9" spans="1:1" x14ac:dyDescent="0.3">
      <c r="A9" s="6" t="s">
        <v>43</v>
      </c>
    </row>
    <row r="10" spans="1:1" x14ac:dyDescent="0.3">
      <c r="A10" s="1" t="s">
        <v>12</v>
      </c>
    </row>
    <row r="11" spans="1:1" x14ac:dyDescent="0.3">
      <c r="A11" s="1" t="s">
        <v>13</v>
      </c>
    </row>
    <row r="12" spans="1:1" x14ac:dyDescent="0.3">
      <c r="A12" s="1" t="s">
        <v>14</v>
      </c>
    </row>
    <row r="13" spans="1:1" x14ac:dyDescent="0.3">
      <c r="A13" s="1" t="s">
        <v>15</v>
      </c>
    </row>
    <row r="15" spans="1:1" x14ac:dyDescent="0.3">
      <c r="A15" s="5" t="s">
        <v>2</v>
      </c>
    </row>
    <row r="16" spans="1:1" x14ac:dyDescent="0.3">
      <c r="A16" s="3" t="s">
        <v>43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2" spans="1:1" x14ac:dyDescent="0.3">
      <c r="A22" s="5" t="s">
        <v>3</v>
      </c>
    </row>
    <row r="23" spans="1:1" x14ac:dyDescent="0.3">
      <c r="A23" s="3" t="s">
        <v>43</v>
      </c>
    </row>
    <row r="24" spans="1:1" x14ac:dyDescent="0.3">
      <c r="A24" s="1" t="s">
        <v>20</v>
      </c>
    </row>
    <row r="25" spans="1:1" x14ac:dyDescent="0.3">
      <c r="A25" s="1" t="s">
        <v>21</v>
      </c>
    </row>
    <row r="26" spans="1:1" x14ac:dyDescent="0.3">
      <c r="A26" s="1" t="s">
        <v>22</v>
      </c>
    </row>
    <row r="27" spans="1:1" x14ac:dyDescent="0.3">
      <c r="A27" s="1" t="s">
        <v>23</v>
      </c>
    </row>
    <row r="29" spans="1:1" x14ac:dyDescent="0.3">
      <c r="A29" s="7" t="s">
        <v>4</v>
      </c>
    </row>
    <row r="30" spans="1:1" x14ac:dyDescent="0.3">
      <c r="A30" s="3" t="s">
        <v>43</v>
      </c>
    </row>
    <row r="31" spans="1:1" x14ac:dyDescent="0.3">
      <c r="A31" s="1" t="s">
        <v>24</v>
      </c>
    </row>
    <row r="32" spans="1:1" x14ac:dyDescent="0.3">
      <c r="A32" s="1" t="s">
        <v>25</v>
      </c>
    </row>
    <row r="33" spans="1:1" x14ac:dyDescent="0.3">
      <c r="A33" s="1" t="s">
        <v>26</v>
      </c>
    </row>
    <row r="34" spans="1:1" x14ac:dyDescent="0.3">
      <c r="A34" s="1" t="s">
        <v>27</v>
      </c>
    </row>
    <row r="36" spans="1:1" x14ac:dyDescent="0.3">
      <c r="A36" s="7" t="s">
        <v>5</v>
      </c>
    </row>
    <row r="37" spans="1:1" x14ac:dyDescent="0.3">
      <c r="A37" s="3" t="s">
        <v>43</v>
      </c>
    </row>
    <row r="38" spans="1:1" x14ac:dyDescent="0.3">
      <c r="A38" s="1" t="s">
        <v>28</v>
      </c>
    </row>
    <row r="39" spans="1:1" x14ac:dyDescent="0.3">
      <c r="A39" s="1" t="s">
        <v>29</v>
      </c>
    </row>
    <row r="40" spans="1:1" x14ac:dyDescent="0.3">
      <c r="A40" s="1" t="s">
        <v>30</v>
      </c>
    </row>
    <row r="41" spans="1:1" x14ac:dyDescent="0.3">
      <c r="A41" s="1" t="s">
        <v>31</v>
      </c>
    </row>
    <row r="43" spans="1:1" x14ac:dyDescent="0.3">
      <c r="A43" s="2" t="s">
        <v>33</v>
      </c>
    </row>
    <row r="44" spans="1:1" x14ac:dyDescent="0.3">
      <c r="A44" s="3" t="s">
        <v>44</v>
      </c>
    </row>
    <row r="45" spans="1:1" x14ac:dyDescent="0.3">
      <c r="A45" s="1" t="s">
        <v>34</v>
      </c>
    </row>
    <row r="46" spans="1:1" x14ac:dyDescent="0.3">
      <c r="A46" s="1" t="s">
        <v>35</v>
      </c>
    </row>
    <row r="47" spans="1:1" ht="15" customHeight="1" x14ac:dyDescent="0.3">
      <c r="A47" s="1" t="s">
        <v>36</v>
      </c>
    </row>
    <row r="49" spans="1:1" x14ac:dyDescent="0.3">
      <c r="A49" s="2" t="s">
        <v>37</v>
      </c>
    </row>
    <row r="50" spans="1:1" x14ac:dyDescent="0.3">
      <c r="A50" s="3" t="s">
        <v>44</v>
      </c>
    </row>
    <row r="51" spans="1:1" x14ac:dyDescent="0.3">
      <c r="A51" s="1" t="s">
        <v>38</v>
      </c>
    </row>
    <row r="52" spans="1:1" x14ac:dyDescent="0.3">
      <c r="A52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3082-2D98-479D-91A3-A0ED8123DAE7}">
  <dimension ref="A1:C12"/>
  <sheetViews>
    <sheetView workbookViewId="0">
      <selection activeCell="E12" sqref="E12"/>
    </sheetView>
  </sheetViews>
  <sheetFormatPr defaultRowHeight="14.4" x14ac:dyDescent="0.3"/>
  <cols>
    <col min="1" max="1" width="40.109375" bestFit="1" customWidth="1"/>
    <col min="2" max="2" width="14.33203125" bestFit="1" customWidth="1"/>
    <col min="3" max="3" width="25.88671875" bestFit="1" customWidth="1"/>
    <col min="4" max="4" width="31.5546875" bestFit="1" customWidth="1"/>
    <col min="5" max="5" width="40.109375" bestFit="1" customWidth="1"/>
    <col min="6" max="6" width="23.77734375" bestFit="1" customWidth="1"/>
    <col min="7" max="7" width="13.21875" bestFit="1" customWidth="1"/>
  </cols>
  <sheetData>
    <row r="1" spans="1:3" x14ac:dyDescent="0.3">
      <c r="A1" s="1" t="s">
        <v>0</v>
      </c>
      <c r="B1" s="10">
        <f>IF('Criticality Assessment'!A25="Score (1-4): Please select from the drop down list.",0,IF('Criticality Assessment'!A25="1: Low - System is rarely used or has minimal operational importance.",1,IF('Criticality Assessment'!A25="2: Moderate - System provides convenience but is not essential.",2,IF('Criticality Assessment'!A25="3: High - System is heavily relied upon but alternatives exist temporarily.",3,IF('Criticality Assessment'!A25="4: Mission-Critical - System is indispensable for daily operations or business continuity.",4)))))</f>
        <v>0</v>
      </c>
      <c r="C1" s="4"/>
    </row>
    <row r="2" spans="1:3" x14ac:dyDescent="0.3">
      <c r="A2" s="1" t="s">
        <v>1</v>
      </c>
      <c r="B2" s="8">
        <f>IF('Criticality Assessment'!B25="Score (1-4): Please select from the drop down list.",0,IF('Criticality Assessment'!B25="1: Low - Negligible financial consequences.",1,IF('Criticality Assessment'!B25="2: Moderate - Minimal financial impact.",2,IF('Criticality Assessment'!B25="3: High - Issues cause moderate financial repercussions.",3,IF('Criticality Assessment'!B25="4: Mission-Critical - Failure results in substantial financial losses.",4)))))</f>
        <v>0</v>
      </c>
      <c r="C2" s="4"/>
    </row>
    <row r="3" spans="1:3" x14ac:dyDescent="0.3">
      <c r="A3" s="1" t="s">
        <v>2</v>
      </c>
      <c r="B3" s="8">
        <f>IF('Criticality Assessment'!A27="Score (1-4): Please select from the drop down list.",0,IF('Criticality Assessment'!A27="1: Low - Negligible or no stakeholder impact.",1,IF('Criticality Assessment'!A27="2: Moderate - Limited effect on a small group of stakeholders.",2,IF('Criticality Assessment'!A27="3: High - Impacts multiple stakeholders noticeably.",3,IF('Criticality Assessment'!A27="4: Mission-Critical - Directly affects a large majority of customers or stakeholders.",4)))))</f>
        <v>0</v>
      </c>
      <c r="C3" s="4"/>
    </row>
    <row r="4" spans="1:3" x14ac:dyDescent="0.3">
      <c r="A4" s="1" t="s">
        <v>3</v>
      </c>
      <c r="B4" s="8">
        <f>IF('Criticality Assessment'!B27="Score (1-4): Please select from the drop down list.",0,IF('Criticality Assessment'!B27="1: Low - Contains minimal or non-sensitive data with negligible breach consequences.",1,IF('Criticality Assessment'!B27="2: Moderate - Handles moderately sensitive data with manageable breach impact.",2,IF('Criticality Assessment'!B27="3: High - Processes sensitive data, and a breach would have significant consequences.",3,IF('Criticality Assessment'!B27="4: Mission-Critical - Handles highly sensitive data where a breach could cause severe regulatory, financial, or reputational damage.",4)))))</f>
        <v>0</v>
      </c>
      <c r="C4" s="4"/>
    </row>
    <row r="5" spans="1:3" x14ac:dyDescent="0.3">
      <c r="A5" s="1" t="s">
        <v>4</v>
      </c>
      <c r="B5" s="8">
        <f>IF('Criticality Assessment'!A29="Score (1-4): Please select from the drop down list.",0,IF('Criticality Assessment'!A29="1: Low - Minimal impact from unauthorized access or manipulation.",1,IF('Criticality Assessment'!A29="2: Moderate - Manipulation or unauthorized access causes manageable disruptions or issues.",2,IF('Criticality Assessment'!A29="3: High - Unauthorized actions would have significant but less severe consequences.",3,IF('Criticality Assessment'!A29="4: Mission-Critical - Unauthorized access or manipulation could lead to severe operational disruption, legal consequences, or significant reputational damage.",4)))))</f>
        <v>0</v>
      </c>
      <c r="C5" s="4"/>
    </row>
    <row r="6" spans="1:3" x14ac:dyDescent="0.3">
      <c r="A6" s="1" t="s">
        <v>5</v>
      </c>
      <c r="B6" s="8">
        <f>IF('Criticality Assessment'!B29="Score (1-4): Please select from the drop down list.",0,IF('Criticality Assessment'!B29="1: Low - Systems tolerate extended RTO and RPO, as delays and data loss have minimal impact.",1,IF('Criticality Assessment'!B29="2: Moderate - Systems have flexible RTO and RPO, with longer acceptable recovery times and data loss thresholds.",2,IF('Criticality Assessment'!B29="3: High - Systems allow slightly extended RTO and RPO but still require quick recovery and data restoration.",3,IF('Criticality Assessment'!B29="4: Mission-Critical - Systems demand near-zero RTO and RPO, indicating an urgent need for rapid recovery and minimal data loss.",4)))))</f>
        <v>0</v>
      </c>
      <c r="C6" s="4"/>
    </row>
    <row r="7" spans="1:3" x14ac:dyDescent="0.3">
      <c r="A7" s="1" t="s">
        <v>33</v>
      </c>
      <c r="B7" s="8">
        <f>IF('Criticality Assessment'!A31="Score (0-4): Please select from the drop down list.",0,IF('Criticality Assessment'!A31="0: No",0,IF('Criticality Assessment'!A31="2:Yes,Whitelisted",2,IF('Criticality Assessment'!A31="4:Yes",4))))</f>
        <v>0</v>
      </c>
      <c r="C7" s="4"/>
    </row>
    <row r="8" spans="1:3" x14ac:dyDescent="0.3">
      <c r="A8" s="1" t="s">
        <v>37</v>
      </c>
      <c r="B8" s="8">
        <f>IF('Criticality Assessment'!B31="Score (0-4): Please select from the drop down list.",0,IF('Criticality Assessment'!B31="0:No",0,IF('Criticality Assessment'!B31="4:Yes",4)))</f>
        <v>0</v>
      </c>
      <c r="C8" s="4"/>
    </row>
    <row r="9" spans="1:3" x14ac:dyDescent="0.3">
      <c r="A9" s="11" t="s">
        <v>48</v>
      </c>
      <c r="B9" s="8">
        <f>SUM(B1:B8)</f>
        <v>0</v>
      </c>
    </row>
    <row r="12" spans="1:3" ht="48.6" x14ac:dyDescent="0.3">
      <c r="A12" s="9" t="s">
        <v>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Criticality Assessment</vt:lpstr>
      <vt:lpstr>Selection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Atif Amir</dc:creator>
  <cp:lastModifiedBy>Atif Amir</cp:lastModifiedBy>
  <cp:lastPrinted>2025-01-02T06:46:13Z</cp:lastPrinted>
  <dcterms:created xsi:type="dcterms:W3CDTF">2024-12-27T05:58:42Z</dcterms:created>
  <dcterms:modified xsi:type="dcterms:W3CDTF">2025-10-02T05:24:40Z</dcterms:modified>
</cp:coreProperties>
</file>