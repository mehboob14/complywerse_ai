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GRC tool\Templates with sample data\"/>
    </mc:Choice>
  </mc:AlternateContent>
  <bookViews>
    <workbookView xWindow="-110" yWindow="-110" windowWidth="19310" windowHeight="7750" tabRatio="735" firstSheet="2" activeTab="5"/>
  </bookViews>
  <sheets>
    <sheet name="Audit_OS_Points" sheetId="1" state="hidden" r:id="rId1"/>
    <sheet name="Sheet1" sheetId="14" state="hidden" r:id="rId2"/>
    <sheet name="Internal Audit" sheetId="16" r:id="rId3"/>
    <sheet name="ML Int'l" sheetId="17" r:id="rId4"/>
    <sheet name="ML Domestic" sheetId="13" r:id="rId5"/>
    <sheet name="SBP" sheetId="18" r:id="rId6"/>
    <sheet name="Dashboard" sheetId="21" r:id="rId7"/>
  </sheets>
  <definedNames>
    <definedName name="_xlnm._FilterDatabase" localSheetId="2" hidden="1">'Internal Audit'!$A$1:$I$21</definedName>
    <definedName name="_xlnm._FilterDatabase" localSheetId="4" hidden="1">'ML Domestic'!$A$1:$J$11</definedName>
    <definedName name="_xlnm._FilterDatabase" localSheetId="3" hidden="1">'ML Int''l'!$A$1:$I$12</definedName>
    <definedName name="_xlnm._FilterDatabase" localSheetId="5" hidden="1">SBP!$A$1:$L$16</definedName>
  </definedNames>
  <calcPr calcId="162913"/>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21" l="1"/>
  <c r="D12" i="21"/>
  <c r="E12" i="21"/>
  <c r="F12" i="21"/>
  <c r="G12" i="21"/>
  <c r="H12" i="21"/>
  <c r="I12" i="21"/>
  <c r="J12" i="21"/>
  <c r="K12" i="21"/>
  <c r="L12" i="21"/>
  <c r="M12" i="21"/>
  <c r="N12" i="21"/>
  <c r="O12" i="21"/>
  <c r="P12" i="21"/>
  <c r="Q12" i="21"/>
  <c r="R12" i="21"/>
  <c r="S12" i="21"/>
  <c r="T12" i="21"/>
  <c r="U12" i="21"/>
  <c r="V12" i="21"/>
  <c r="W12" i="21"/>
  <c r="X12" i="21"/>
  <c r="Y12" i="21"/>
  <c r="B12" i="21"/>
</calcChain>
</file>

<file path=xl/sharedStrings.xml><?xml version="1.0" encoding="utf-8"?>
<sst xmlns="http://schemas.openxmlformats.org/spreadsheetml/2006/main" count="601" uniqueCount="327">
  <si>
    <t>S#</t>
  </si>
  <si>
    <t>Description</t>
  </si>
  <si>
    <t>Raised By:</t>
  </si>
  <si>
    <t>Responsible</t>
  </si>
  <si>
    <t>Target Completion date</t>
  </si>
  <si>
    <t xml:space="preserve">During Audit it was noted that  information security team has not developed security hardening/IS standard for the hardening of POS machines neither any validation has been performed to review the controls implemented on the POS machines.   IS   IS Comments: 
We will provide POS Hardening and IS standard by Q3-2022.
</t>
  </si>
  <si>
    <t>IA</t>
  </si>
  <si>
    <t>Farhan</t>
  </si>
  <si>
    <t>Q3-2022</t>
  </si>
  <si>
    <t>Bahrain PT Report</t>
  </si>
  <si>
    <t>Bahrain-Auditor</t>
  </si>
  <si>
    <t>Abid</t>
  </si>
  <si>
    <t>Q1-2022</t>
  </si>
  <si>
    <t>Diligent Password and Password Expiry Date</t>
  </si>
  <si>
    <t>Shoukat Ali</t>
  </si>
  <si>
    <t>Bilal Tasneem</t>
  </si>
  <si>
    <t>Self-Assessment Cyber Hygiene Exercise</t>
  </si>
  <si>
    <t>ITG</t>
  </si>
  <si>
    <t>MFA / AMT to share an updated status on the submission of self-assessment on Cyber Hygiene Exercise to the Regulator after approval of action plan by ITSC, ISSC, BRCC and BITC. Timeline: April 10, 2022</t>
  </si>
  <si>
    <t>Next action Item</t>
  </si>
  <si>
    <t>ATM Audit</t>
  </si>
  <si>
    <t xml:space="preserve">AMT responded that IT would share the action plan in the next week for the compliance with the remaining regulatory instructions. Timeline: April 8, 2022.
MFA / IS to share an updated status on the key issues identified in the ATM Audit Report. Timeline: April 30, 2022 </t>
  </si>
  <si>
    <t>ITG/IS</t>
  </si>
  <si>
    <t>GNB and Digital App-Audit points raised./Global Net-banking Audit (Follow up)</t>
  </si>
  <si>
    <t xml:space="preserve">MFA / IS to share an updated status on the key issues identified in the Global Net Banking Audit Report. Timeline: April 30, 2022 </t>
  </si>
  <si>
    <t>Point of Sale (POS) Audit</t>
  </si>
  <si>
    <t>Source</t>
  </si>
  <si>
    <t>Control Committee Q1-2022</t>
  </si>
  <si>
    <t>IT/IS/DB</t>
  </si>
  <si>
    <t xml:space="preserve">SS/MFA / IS to share an updated status on the key issues identified in the Point of Sale Audit Report. Timeline: April 30, 2022 
MFA / IS to share the management response on another internal audit related to the tablets used by the RM. Timeline: April 8, 2022 </t>
  </si>
  <si>
    <t>Customer Data Privacy Issue in Core Banking System:
 ITG to provide updated timeline post testing of the fix by the vendor and update in next meeting.
 Update on a comprehensive review of all screens to be provided by Information Technology (IT) and Information Security (IS) by next meeting</t>
  </si>
  <si>
    <t>IT/IS</t>
  </si>
  <si>
    <t xml:space="preserve">Develop Security Risk Assessment and Governance Framework for third party vendors </t>
  </si>
  <si>
    <t>ITSC/BITC</t>
  </si>
  <si>
    <t>IS/IT</t>
  </si>
  <si>
    <t>Develop process for a secure Software Development Lifecycle (SDLC)</t>
  </si>
  <si>
    <t>ATM Security Standard (Repeat Issue) – (High Priority)</t>
  </si>
  <si>
    <t>ATM Audit Report</t>
  </si>
  <si>
    <t>Control Committee 30-Apr-2022</t>
  </si>
  <si>
    <t>IS</t>
  </si>
  <si>
    <t>ATM Security Logs (Repeated Issue) – (Medium Priority)</t>
  </si>
  <si>
    <t>Hardening documents for POS machines – (Medium Risk)</t>
  </si>
  <si>
    <t>POS Audit Report</t>
  </si>
  <si>
    <t>IT Control Environment: Access management policy and password history and failed login attempts are not documented</t>
  </si>
  <si>
    <t>PwC Audit</t>
  </si>
  <si>
    <t>ML</t>
  </si>
  <si>
    <t>These two points will be incorporated in the Policy and same will be implemented in across UBL assets. Timeline will be Q3-2022</t>
  </si>
  <si>
    <t>Cyber Security Controls: Weaknesses in organogram of IS department</t>
  </si>
  <si>
    <t xml:space="preserve">We will provide updated and sign off organogram of Info Sec Department by Q2-2022.
</t>
  </si>
  <si>
    <t>Cyber Security Controls: Weaknesses identified in risk assessment</t>
  </si>
  <si>
    <t>IS has started the comprehensive risk assessment of critical applications. Evidence will be shared in separate email</t>
  </si>
  <si>
    <t>Cyber Security Controls: Weaknesses found in Security Information and Event Management (SIEM)</t>
  </si>
  <si>
    <t xml:space="preserve">It will be integrated with SIEM by Q2-2022.
</t>
  </si>
  <si>
    <t>Cyber Security Controls: Weaknesses identified in asset classification</t>
  </si>
  <si>
    <t xml:space="preserve">IS will performed the asset classification will be completed for above mention applications by Q4-2022.
</t>
  </si>
  <si>
    <t>Cyber Security Controls: Weaknesses identified in incident response plan</t>
  </si>
  <si>
    <t>Evidence shall be shared separately, further this shall be updated by Q4-2022</t>
  </si>
  <si>
    <t>Cyber Security Controls: Weaknesses identified in baseline configuration procedure</t>
  </si>
  <si>
    <t xml:space="preserve">The review will be performed on above applications and will shared results  by Q3-2022.
</t>
  </si>
  <si>
    <t>.</t>
  </si>
  <si>
    <t>Status</t>
  </si>
  <si>
    <t>IS team will validate the ATM Machine hardening standard by Q3-2022</t>
  </si>
  <si>
    <t>IS team will validate the ATM security logs by Q3-2022</t>
  </si>
  <si>
    <t>Hardening document for POS will be provided by Q3-2022</t>
  </si>
  <si>
    <t>Hard Disk Encryption Solution (Repeat Issue) – (High Priority)</t>
  </si>
  <si>
    <t>IS have provided the response on the Hard Disk Encryption</t>
  </si>
  <si>
    <t>Not Pertain to IS</t>
  </si>
  <si>
    <t>Completed</t>
  </si>
  <si>
    <t>In-progress</t>
  </si>
  <si>
    <t>Pls refer point 11,12 &amp; 13</t>
  </si>
  <si>
    <t>Pls refer point 14</t>
  </si>
  <si>
    <t>TBI</t>
  </si>
  <si>
    <t>Target Date</t>
  </si>
  <si>
    <t>International</t>
  </si>
  <si>
    <t>Closed</t>
  </si>
  <si>
    <t>Domestic</t>
  </si>
  <si>
    <t>Brief Detail of Exception</t>
  </si>
  <si>
    <t>Revised Target Date</t>
  </si>
  <si>
    <t>Information Security Governance</t>
  </si>
  <si>
    <t>Q3 2021</t>
  </si>
  <si>
    <t>Q2 2022</t>
  </si>
  <si>
    <t>Open</t>
  </si>
  <si>
    <t>Recommendation</t>
  </si>
  <si>
    <t>To be Started</t>
  </si>
  <si>
    <t>Grand Total</t>
  </si>
  <si>
    <t>Count of Status</t>
  </si>
  <si>
    <t>Observation</t>
  </si>
  <si>
    <t>High</t>
  </si>
  <si>
    <t>Low</t>
  </si>
  <si>
    <t>Medium</t>
  </si>
  <si>
    <t>S. No</t>
  </si>
  <si>
    <t>Report Name</t>
  </si>
  <si>
    <t>CG Ref. No.</t>
  </si>
  <si>
    <t xml:space="preserve">SBP Observation </t>
  </si>
  <si>
    <t>Pertain to</t>
  </si>
  <si>
    <t>Group</t>
  </si>
  <si>
    <t>Groups Revised</t>
  </si>
  <si>
    <t>Management Response</t>
  </si>
  <si>
    <t>Initial Timeline</t>
  </si>
  <si>
    <t>Status 1</t>
  </si>
  <si>
    <t>IA Comments (14-Sep-2022)</t>
  </si>
  <si>
    <t>Risk</t>
  </si>
  <si>
    <t>Year</t>
  </si>
  <si>
    <t>Branch / Unit</t>
  </si>
  <si>
    <t>International / Domestic</t>
  </si>
  <si>
    <t>Tagged</t>
  </si>
  <si>
    <t>Q2 2020</t>
  </si>
  <si>
    <t>Q2 2021</t>
  </si>
  <si>
    <t>Point No.</t>
  </si>
  <si>
    <t>Title</t>
  </si>
  <si>
    <t>Rating</t>
  </si>
  <si>
    <t>Owner</t>
  </si>
  <si>
    <t>Management Response - Sep'22</t>
  </si>
  <si>
    <t>Inadequate periodic risk assessments process</t>
  </si>
  <si>
    <t>Q1-2023</t>
  </si>
  <si>
    <t>Inappropriate classification of Information Assets</t>
  </si>
  <si>
    <t>Inappropriate incident response plan in place</t>
  </si>
  <si>
    <t>Inadequate procedure over data loss prevention</t>
  </si>
  <si>
    <t>Absence of Review of Logs</t>
  </si>
  <si>
    <t>Absence of review of logs for privileged users</t>
  </si>
  <si>
    <t>Information Security Organogram not approved</t>
  </si>
  <si>
    <t>Lack of periodic assessment of Baseline Security document</t>
  </si>
  <si>
    <t>Absence of Vulnerability Assessment</t>
  </si>
  <si>
    <t>Absence of formal documented IT Policies and Procedures</t>
  </si>
  <si>
    <t>10.9</t>
  </si>
  <si>
    <t>10.10</t>
  </si>
  <si>
    <t>10.11</t>
  </si>
  <si>
    <t>10.12</t>
  </si>
  <si>
    <t>10.13</t>
  </si>
  <si>
    <t>10.14</t>
  </si>
  <si>
    <t>10.15</t>
  </si>
  <si>
    <t>Owner/Action</t>
  </si>
  <si>
    <t>Weaknesses identified in risk assessment: Risk Medium</t>
  </si>
  <si>
    <t>Weaknesses found in Security Information and Event Management (SIEM)</t>
  </si>
  <si>
    <t>Weaknesses identified in asset classification</t>
  </si>
  <si>
    <t>Weaknesses identified in baseline configuration procedure</t>
  </si>
  <si>
    <t>Weaknesses Identified in data loss prevention procedure</t>
  </si>
  <si>
    <t>Weaknesses identified in vulnerability assessment procedure</t>
  </si>
  <si>
    <t>Q2-2023</t>
  </si>
  <si>
    <t xml:space="preserve">Closed </t>
  </si>
  <si>
    <t>Under Validation with IA/Compliance</t>
  </si>
  <si>
    <t>Referred to Business</t>
  </si>
  <si>
    <t>H</t>
  </si>
  <si>
    <t>M</t>
  </si>
  <si>
    <t>L</t>
  </si>
  <si>
    <t>IS Audit</t>
  </si>
  <si>
    <t xml:space="preserve">Total </t>
  </si>
  <si>
    <t>Work-in-progress- IS</t>
  </si>
  <si>
    <t>Severity / priority</t>
  </si>
  <si>
    <t>Closed
IS part has been closed</t>
  </si>
  <si>
    <t>Closed as of Q4-2022</t>
  </si>
  <si>
    <t>Closed as of Q1-2023</t>
  </si>
  <si>
    <t>Closed as of Q2-2023</t>
  </si>
  <si>
    <t>Re-taggeing Requested,
Closed 
further marked to IS</t>
  </si>
  <si>
    <t>Closed as of Q3-2023</t>
  </si>
  <si>
    <t>Closed as of Q4-2023</t>
  </si>
  <si>
    <t>Closed as of Jan-2024</t>
  </si>
  <si>
    <t>Overall compliance and progress</t>
  </si>
  <si>
    <t>3</t>
  </si>
  <si>
    <t>Closed as of May-2024</t>
  </si>
  <si>
    <t>Absence of Vulnerability Assessment / Penetration Testing</t>
  </si>
  <si>
    <t>Closed as of June-2024</t>
  </si>
  <si>
    <t>Q1-2025</t>
  </si>
  <si>
    <t>Closed as of Q3-2024</t>
  </si>
  <si>
    <t>Closed as of Q4-2024</t>
  </si>
  <si>
    <t>Q2-2025</t>
  </si>
  <si>
    <t>Q4-2024</t>
  </si>
  <si>
    <t>Closed as of Q1-2025</t>
  </si>
  <si>
    <t>Closed as of Q2-2025</t>
  </si>
  <si>
    <t>open</t>
  </si>
  <si>
    <t xml:space="preserve">CYBERSECURITY AS OF 31-12-2024 </t>
  </si>
  <si>
    <t>IT / IS</t>
  </si>
  <si>
    <t>IS/ IT</t>
  </si>
  <si>
    <t>IT / IS / IAM</t>
  </si>
  <si>
    <t>Board of Directors and Senior Management
2.1</t>
  </si>
  <si>
    <t>In progress</t>
  </si>
  <si>
    <t>Q4-2025</t>
  </si>
  <si>
    <t>Q1-2026</t>
  </si>
  <si>
    <t>Closed as of Q4-2025</t>
  </si>
  <si>
    <t>Closed as of Q1-2026</t>
  </si>
  <si>
    <t>Information Security (IS Governance, VAPT and SOC)</t>
  </si>
  <si>
    <t>Security policies are not reviewed annually, with last review conducted over 2 years ago.</t>
  </si>
  <si>
    <t>Management agrees and will establish an annual policy review calendar with assigned owners.</t>
  </si>
  <si>
    <t>SOC monitoring does not cover all critical systems, including certain cloud-hosted applications.</t>
  </si>
  <si>
    <t>Management will onboard remaining systems into SOC monitoring within the next quarter.</t>
  </si>
  <si>
    <t>VAPT exercises are conducted irregularly and not aligned with risk-based prioritization.</t>
  </si>
  <si>
    <t>A risk-based VAPT schedule will be implemented starting next fiscal year.</t>
  </si>
  <si>
    <t>Vulnerability Management</t>
  </si>
  <si>
    <t>Critical vulnerabilities are not remediated within defined SLA timelines.</t>
  </si>
  <si>
    <t>A tracking dashboard will be implemented to monitor SLA compliance.</t>
  </si>
  <si>
    <t>Lack of centralized inventory of assets for vulnerability scanning.</t>
  </si>
  <si>
    <t>Asset inventory tool implementation is in progress.</t>
  </si>
  <si>
    <t>Patch management process is partially manual, leading to delays.</t>
  </si>
  <si>
    <t>Automation tools are being evaluated to streamline patching.</t>
  </si>
  <si>
    <t>Cyber Security Management</t>
  </si>
  <si>
    <t>Incident response plan is outdated and not tested through drills.</t>
  </si>
  <si>
    <t>Plan will be updated and annual simulation exercises will be conducted.</t>
  </si>
  <si>
    <t>Security awareness training is not mandatory for all employees.</t>
  </si>
  <si>
    <t>Mandatory training rollout is planned for all staff within 6 months.</t>
  </si>
  <si>
    <t>Lack of defined KPIs to measure cybersecurity effectiveness.</t>
  </si>
  <si>
    <t>KPIs will be defined and tracked quarterly.</t>
  </si>
  <si>
    <t>Roles and responsibilities for information security are not clearly defined.</t>
  </si>
  <si>
    <t>RACI matrix will be developed and communicated across departments.</t>
  </si>
  <si>
    <t>No formal risk appetite statement for information security risks.</t>
  </si>
  <si>
    <t>Risk appetite statement will be defined and approved by the board.</t>
  </si>
  <si>
    <t>Information security steering committee meetings are not conducted regularly.</t>
  </si>
  <si>
    <t>Quarterly meetings will be scheduled and documented going forward.</t>
  </si>
  <si>
    <t>Identity and Access Management (IAM)</t>
  </si>
  <si>
    <t>User access reviews are not performed periodically for critical systems.</t>
  </si>
  <si>
    <t>Quarterly access review process will be implemented.</t>
  </si>
  <si>
    <t>Shared accounts are being used without proper monitoring.</t>
  </si>
  <si>
    <t>Shared accounts will be eliminated or strictly controlled with monitoring.</t>
  </si>
  <si>
    <t>Password policy does not enforce strong complexity requirements.</t>
  </si>
  <si>
    <t>Password policy will be updated in line with best practices.</t>
  </si>
  <si>
    <t>Delayed de-provisioning of user access after employee exit.</t>
  </si>
  <si>
    <t>HR and IT integration will be enhanced for timely de-provisioning.</t>
  </si>
  <si>
    <t>Application Security, Vulnerability Assessment and Penetration Testing Audit</t>
  </si>
  <si>
    <t>Secure coding practices are not consistently followed across development teams.</t>
  </si>
  <si>
    <t>Secure coding training will be provided and enforced via code reviews.</t>
  </si>
  <si>
    <t>Penetration testing is not conducted before production releases.</t>
  </si>
  <si>
    <t>Mandatory pre-release penetration testing will be enforced.</t>
  </si>
  <si>
    <t>Lack of automated security testing in CI/CD pipeline.</t>
  </si>
  <si>
    <t>Security tools will be integrated into CI/CD pipeline within 3 months.</t>
  </si>
  <si>
    <t>Identified vulnerabilities are not tracked to closure.</t>
  </si>
  <si>
    <t>A centralized tracking mechanism will be implemented.</t>
  </si>
  <si>
    <t>System and application logs are generated but not periodically reviewed to identify suspicious activities or anomalies.</t>
  </si>
  <si>
    <t>Implement a formal log review process with defined frequency, responsibilities, and escalation procedures.</t>
  </si>
  <si>
    <t>Activities performed by privileged users are not logged or reviewed, increasing the risk of undetected misuse.</t>
  </si>
  <si>
    <t>Enable logging for all privileged accounts and perform regular independent reviews of such logs.</t>
  </si>
  <si>
    <t>The information security organizational structure exists but has not been formally approved by senior management.</t>
  </si>
  <si>
    <t>Obtain formal approval of the InfoSec organogram and communicate roles and responsibilities across the organization.</t>
  </si>
  <si>
    <t>Risk assessments are conducted on an ad-hoc basis without a defined methodology or schedule.</t>
  </si>
  <si>
    <t>Establish a formal risk assessment framework with periodic assessments and documented outcomes.</t>
  </si>
  <si>
    <t>Information assets are not classified based on sensitivity and criticality, leading to inconsistent protection measures.</t>
  </si>
  <si>
    <t>Develop and enforce an information classification policy with defined categories and handling procedures.</t>
  </si>
  <si>
    <t>The incident response plan is outdated and does not cover emerging cyber threats or define clear escalation paths.</t>
  </si>
  <si>
    <t>Update the incident response plan and conduct periodic testing through simulations or drills.</t>
  </si>
  <si>
    <t>Baseline security standards are defined but not reviewed or updated regularly to reflect evolving threats.</t>
  </si>
  <si>
    <t>Establish a periodic review process to update baseline security standards in line with industry best practices.</t>
  </si>
  <si>
    <t>There is no formalized process or tool implemented for monitoring and preventing data leakage.</t>
  </si>
  <si>
    <t>Implement a Data Loss Prevention (DLP) solution and define procedures for monitoring and incident handling.</t>
  </si>
  <si>
    <t>No regular vulnerability assessments are conducted on internal systems and infrastructure.</t>
  </si>
  <si>
    <t>Conduct periodic vulnerability assessments and track remediation of identified issues.</t>
  </si>
  <si>
    <t>IT policies and procedures are either undocumented or not formally approved, leading to inconsistent practices.</t>
  </si>
  <si>
    <t>Develop, document, and approve IT policies and ensure they are communicated across the organization.</t>
  </si>
  <si>
    <t>Neither vulnerability assessments nor penetration testing exercises are conducted for critical systems and applications.</t>
  </si>
  <si>
    <t>Establish a VAPT program including regular internal and external testing with remediation tracking.</t>
  </si>
  <si>
    <t>Management agrees and will implement automated log monitoring with weekly review reports.</t>
  </si>
  <si>
    <t>Privileged user monitoring tools will be deployed and monthly reviews will be initiated.</t>
  </si>
  <si>
    <t>The organogram will be presented for approval in the next governance committee meeting.</t>
  </si>
  <si>
    <t>A risk assessment framework aligned with industry standards will be implemented annually.</t>
  </si>
  <si>
    <t>Information classification guidelines will be developed and rolled out organization-wide.</t>
  </si>
  <si>
    <t>The plan will be updated and tabletop exercises will be conducted semi-annually.</t>
  </si>
  <si>
    <t>Baseline documents will be reviewed annually and updated as required.</t>
  </si>
  <si>
    <t>A DLP solution is under evaluation and procedures will be documented post-implementation.</t>
  </si>
  <si>
    <t>Quarterly vulnerability assessments will be initiated with tracking dashboards.</t>
  </si>
  <si>
    <t>A policy development initiative is underway and will be completed within 6 months.</t>
  </si>
  <si>
    <t>External consultants will be engaged to conduct annual penetration testing and internal scans.</t>
  </si>
  <si>
    <t>The risk assessment process does not consistently consider all critical assets and lacks proper documentation of risk treatment plans.</t>
  </si>
  <si>
    <t>Enhance the risk assessment methodology to ensure comprehensive asset coverage and formal documentation of risk mitigation actions.</t>
  </si>
  <si>
    <t>Weaknesses in organogram of IS</t>
  </si>
  <si>
    <t>The Information Security organogram does not clearly define reporting lines and segregation of duties, leading to potential conflicts of interest.</t>
  </si>
  <si>
    <t>Revise the organogram to clearly define roles, responsibilities, and reporting structure in line with governance best practices.</t>
  </si>
  <si>
    <t>SIEM implementation lacks proper use case coverage and correlation rules, resulting in ineffective detection of security incidents.</t>
  </si>
  <si>
    <t>Enhance SIEM configuration by defining relevant use cases, correlation rules, and regular tuning.</t>
  </si>
  <si>
    <t>Access management policy and password history and failed login attempts</t>
  </si>
  <si>
    <t>Password policy does not enforce history checks and account lockout after multiple failed login attempts.</t>
  </si>
  <si>
    <t>Strengthen password policy by enforcing password history, complexity, and account lockout thresholds.</t>
  </si>
  <si>
    <t>Asset classification is inconsistently applied, and some critical assets are either misclassified or not classified at all.</t>
  </si>
  <si>
    <t>Conduct a comprehensive asset classification exercise and enforce compliance with classification guidelines.</t>
  </si>
  <si>
    <t>Incident response procedures lack clarity on roles, communication protocols, and recovery steps.</t>
  </si>
  <si>
    <t>Update the incident response plan to include detailed roles, escalation matrix, and recovery procedures, followed by testing.</t>
  </si>
  <si>
    <t>Baseline configuration standards are not enforced consistently across systems, leading to configuration drift.</t>
  </si>
  <si>
    <t>Implement automated configuration management tools to enforce and monitor baseline compliance.</t>
  </si>
  <si>
    <t>Existing DLP procedures are not supported by adequate monitoring tools and lack defined incident handling workflows.</t>
  </si>
  <si>
    <t>Strengthen DLP processes by implementing tools and defining clear workflows for incident detection and response.</t>
  </si>
  <si>
    <t>Vulnerability assessment procedures lack defined scope, frequency, and remediation tracking mechanisms.</t>
  </si>
  <si>
    <t>Define a formal vulnerability management procedure with clear scope, timelines, and tracking of remediation.</t>
  </si>
  <si>
    <t>Incomplete Vulnerability Assessment &amp; Penetration Testing (VAPT) Coverage</t>
  </si>
  <si>
    <t>VAPT activities do not cover all critical applications, systems, and network components.</t>
  </si>
  <si>
    <t>Expand VAPT scope to include all critical assets and ensure periodic testing.</t>
  </si>
  <si>
    <t>Management will update the risk assessment framework and ensure all risks are documented with treatment plans.</t>
  </si>
  <si>
    <t>The organogram will be restructured and approved by senior management.</t>
  </si>
  <si>
    <t>SIEM use cases will be reviewed and optimized with assistance from external experts.</t>
  </si>
  <si>
    <t>Password policy will be updated and implemented across all systems.</t>
  </si>
  <si>
    <t>A reclassification exercise will be conducted and monitored periodically.</t>
  </si>
  <si>
    <t>The incident response plan will be revised and tested through simulation exercises.</t>
  </si>
  <si>
    <t>Tools for configuration management will be evaluated and deployed.</t>
  </si>
  <si>
    <t>DLP tools will be implemented and procedures updated accordingly.</t>
  </si>
  <si>
    <t>A formal procedure will be documented and implemented with tracking dashboards.</t>
  </si>
  <si>
    <t>Management will ensure complete coverage in future VAPT cycles and maintain an asset inventory.</t>
  </si>
  <si>
    <t>Management agrees and will develop a formal cybersecurity governance framework aligned with regulatory guidelines within the next two quarters.</t>
  </si>
  <si>
    <t>A compliance tracking mechanism will be established, and quarterly compliance reports will be presented to management.</t>
  </si>
  <si>
    <t>Management will enhance vendor risk assessment procedures and implement periodic monitoring controls.</t>
  </si>
  <si>
    <t>Data classification and encryption initiatives are currently underway and will be completed within six months.</t>
  </si>
  <si>
    <t>Incident reporting procedures will be formalized and integrated into the incident response plan.</t>
  </si>
  <si>
    <t>A SIEM solution will be enhanced to ensure centralized logging and real-time monitoring.</t>
  </si>
  <si>
    <t>IAM processes will be automated and quarterly access reviews will be enforced.</t>
  </si>
  <si>
    <t>A mandatory training program will be launched for all employees annually.</t>
  </si>
  <si>
    <t>Management will conduct annual DR drills and document lessons learned.</t>
  </si>
  <si>
    <t>Firewall and network segmentation reviews will be conducted semi-annually.</t>
  </si>
  <si>
    <t>Patch management tools are being deployed to ensure timely updates.</t>
  </si>
  <si>
    <t>A centralized vulnerability tracking dashboard will be implemented.</t>
  </si>
  <si>
    <t>Baseline configuration standards will be defined and enforced using automated tools.</t>
  </si>
  <si>
    <t>Log retention policies will be updated to meet regulatory requirements.</t>
  </si>
  <si>
    <t>Change management procedures will be reinforced, and compliance will be monitored regularly.</t>
  </si>
  <si>
    <r>
      <t>Inadequate Cybersecurity Governance Framework:</t>
    </r>
    <r>
      <rPr>
        <sz val="11"/>
        <color theme="1"/>
        <rFont val="Calibri"/>
        <family val="2"/>
        <scheme val="minor"/>
      </rPr>
      <t xml:space="preserve"> 
The organization lacks a formally approved cybersecurity governance framework aligned with regulatory requirements, resulting in inconsistent security practices.
</t>
    </r>
    <r>
      <rPr>
        <b/>
        <sz val="11"/>
        <color theme="1"/>
        <rFont val="Calibri"/>
        <family val="2"/>
        <scheme val="minor"/>
      </rPr>
      <t>Recommendation:</t>
    </r>
    <r>
      <rPr>
        <sz val="11"/>
        <color theme="1"/>
        <rFont val="Calibri"/>
        <family val="2"/>
        <scheme val="minor"/>
      </rPr>
      <t xml:space="preserve"> Develop and obtain board approval for a comprehensive cybersecurity governance framework aligned with applicable regulations and standards.</t>
    </r>
  </si>
  <si>
    <r>
      <t>Absence of Regulatory Compliance Monitoring Mechanism:</t>
    </r>
    <r>
      <rPr>
        <sz val="11"/>
        <color theme="1"/>
        <rFont val="Calibri"/>
        <family val="2"/>
        <scheme val="minor"/>
      </rPr>
      <t xml:space="preserve"> 
There is no structured process to track compliance with regulatory requirements, increasing the risk of non-compliance. 
</t>
    </r>
    <r>
      <rPr>
        <b/>
        <sz val="11"/>
        <color theme="1"/>
        <rFont val="Calibri"/>
        <family val="2"/>
        <scheme val="minor"/>
      </rPr>
      <t>Recommendation:</t>
    </r>
    <r>
      <rPr>
        <sz val="11"/>
        <color theme="1"/>
        <rFont val="Calibri"/>
        <family val="2"/>
        <scheme val="minor"/>
      </rPr>
      <t xml:space="preserve"> Implement a compliance monitoring framework with periodic reporting to senior management.</t>
    </r>
  </si>
  <si>
    <r>
      <t>Weak Third-Party Risk Management Controls:</t>
    </r>
    <r>
      <rPr>
        <sz val="11"/>
        <color theme="1"/>
        <rFont val="Calibri"/>
        <family val="2"/>
        <scheme val="minor"/>
      </rPr>
      <t xml:space="preserve"> 
Due diligence and ongoing monitoring of third-party vendors are not consistently performed. 
</t>
    </r>
    <r>
      <rPr>
        <b/>
        <sz val="11"/>
        <color theme="1"/>
        <rFont val="Calibri"/>
        <family val="2"/>
        <scheme val="minor"/>
      </rPr>
      <t>Recommendation:</t>
    </r>
    <r>
      <rPr>
        <sz val="11"/>
        <color theme="1"/>
        <rFont val="Calibri"/>
        <family val="2"/>
        <scheme val="minor"/>
      </rPr>
      <t xml:space="preserve"> Establish a formal third-party risk management program including risk assessments and periodic reviews.</t>
    </r>
  </si>
  <si>
    <r>
      <t>Lack of Data Protection and Privacy Controls:</t>
    </r>
    <r>
      <rPr>
        <sz val="11"/>
        <color theme="1"/>
        <rFont val="Calibri"/>
        <family val="2"/>
        <scheme val="minor"/>
      </rPr>
      <t xml:space="preserve"> 
Sensitive data is not adequately protected or classified in accordance with regulatory expectations. 
</t>
    </r>
    <r>
      <rPr>
        <b/>
        <sz val="11"/>
        <color theme="1"/>
        <rFont val="Calibri"/>
        <family val="2"/>
        <scheme val="minor"/>
      </rPr>
      <t>Recommendation:</t>
    </r>
    <r>
      <rPr>
        <sz val="11"/>
        <color theme="1"/>
        <rFont val="Calibri"/>
        <family val="2"/>
        <scheme val="minor"/>
      </rPr>
      <t xml:space="preserve"> Implement data classification, encryption, and privacy controls in line with regulatory requirements.</t>
    </r>
  </si>
  <si>
    <r>
      <t>Ineffective Security Incident Reporting to Regulators:</t>
    </r>
    <r>
      <rPr>
        <sz val="11"/>
        <color theme="1"/>
        <rFont val="Calibri"/>
        <family val="2"/>
        <scheme val="minor"/>
      </rPr>
      <t xml:space="preserve"> 
There is no defined process for timely reporting of cybersecurity incidents to regulators. 
</t>
    </r>
    <r>
      <rPr>
        <b/>
        <sz val="11"/>
        <color theme="1"/>
        <rFont val="Calibri"/>
        <family val="2"/>
        <scheme val="minor"/>
      </rPr>
      <t>Recommendation:</t>
    </r>
    <r>
      <rPr>
        <sz val="11"/>
        <color theme="1"/>
        <rFont val="Calibri"/>
        <family val="2"/>
        <scheme val="minor"/>
      </rPr>
      <t xml:space="preserve"> Develop and implement an incident reporting protocol aligned with regulatory timelines.</t>
    </r>
  </si>
  <si>
    <r>
      <t>Inadequate Logging and Monitoring Controls:</t>
    </r>
    <r>
      <rPr>
        <sz val="11"/>
        <color theme="1"/>
        <rFont val="Calibri"/>
        <family val="2"/>
        <scheme val="minor"/>
      </rPr>
      <t xml:space="preserve"> 
Logs are not centrally monitored, limiting the organization’s ability to detect suspicious activities. 
</t>
    </r>
    <r>
      <rPr>
        <b/>
        <sz val="11"/>
        <color theme="1"/>
        <rFont val="Calibri"/>
        <family val="2"/>
        <scheme val="minor"/>
      </rPr>
      <t>Recommendation:</t>
    </r>
    <r>
      <rPr>
        <sz val="11"/>
        <color theme="1"/>
        <rFont val="Calibri"/>
        <family val="2"/>
        <scheme val="minor"/>
      </rPr>
      <t xml:space="preserve"> Implement centralized logging and continuous monitoring through SIEM solutions.</t>
    </r>
  </si>
  <si>
    <r>
      <t>Deficiencies in Identity and Access Management Controls:</t>
    </r>
    <r>
      <rPr>
        <sz val="11"/>
        <color theme="1"/>
        <rFont val="Calibri"/>
        <family val="2"/>
        <scheme val="minor"/>
      </rPr>
      <t xml:space="preserve"> 
User access provisioning and de-provisioning processes are not consistently enforced. 
</t>
    </r>
    <r>
      <rPr>
        <b/>
        <sz val="11"/>
        <color theme="1"/>
        <rFont val="Calibri"/>
        <family val="2"/>
        <scheme val="minor"/>
      </rPr>
      <t>Recommendation:</t>
    </r>
    <r>
      <rPr>
        <sz val="11"/>
        <color theme="1"/>
        <rFont val="Calibri"/>
        <family val="2"/>
        <scheme val="minor"/>
      </rPr>
      <t xml:space="preserve"> Strengthen IAM processes including periodic access reviews and automation of provisioning.</t>
    </r>
  </si>
  <si>
    <r>
      <t>Lack of Periodic Cybersecurity Awareness Training:</t>
    </r>
    <r>
      <rPr>
        <sz val="11"/>
        <color theme="1"/>
        <rFont val="Calibri"/>
        <family val="2"/>
        <scheme val="minor"/>
      </rPr>
      <t xml:space="preserve"> 
Employees are not regularly trained on cybersecurity risks, increasing susceptibility to attacks. 
</t>
    </r>
    <r>
      <rPr>
        <b/>
        <sz val="11"/>
        <color theme="1"/>
        <rFont val="Calibri"/>
        <family val="2"/>
        <scheme val="minor"/>
      </rPr>
      <t>Recommendation:</t>
    </r>
    <r>
      <rPr>
        <sz val="11"/>
        <color theme="1"/>
        <rFont val="Calibri"/>
        <family val="2"/>
        <scheme val="minor"/>
      </rPr>
      <t xml:space="preserve"> Conduct mandatory periodic cybersecurity awareness training programs.</t>
    </r>
  </si>
  <si>
    <r>
      <t>Absence of Business Continuity and Disaster Recovery Testing:</t>
    </r>
    <r>
      <rPr>
        <sz val="11"/>
        <color theme="1"/>
        <rFont val="Calibri"/>
        <family val="2"/>
        <scheme val="minor"/>
      </rPr>
      <t xml:space="preserve"> 
BCP and DR plans are documented but not periodically tested. 
</t>
    </r>
    <r>
      <rPr>
        <b/>
        <sz val="11"/>
        <color theme="1"/>
        <rFont val="Calibri"/>
        <family val="2"/>
        <scheme val="minor"/>
      </rPr>
      <t>Recommendation:</t>
    </r>
    <r>
      <rPr>
        <sz val="11"/>
        <color theme="1"/>
        <rFont val="Calibri"/>
        <family val="2"/>
        <scheme val="minor"/>
      </rPr>
      <t xml:space="preserve"> Conduct regular BCP/DR testing and document outcomes for improvement.</t>
    </r>
  </si>
  <si>
    <r>
      <t>Weak Network Security Controls:</t>
    </r>
    <r>
      <rPr>
        <sz val="11"/>
        <color theme="1"/>
        <rFont val="Calibri"/>
        <family val="2"/>
        <scheme val="minor"/>
      </rPr>
      <t xml:space="preserve"> 
Network segmentation and firewall rules are not regularly reviewed, increasing exposure to threats. 
</t>
    </r>
    <r>
      <rPr>
        <b/>
        <sz val="11"/>
        <color theme="1"/>
        <rFont val="Calibri"/>
        <family val="2"/>
        <scheme val="minor"/>
      </rPr>
      <t>Recommendation:</t>
    </r>
    <r>
      <rPr>
        <sz val="11"/>
        <color theme="1"/>
        <rFont val="Calibri"/>
        <family val="2"/>
        <scheme val="minor"/>
      </rPr>
      <t xml:space="preserve"> Strengthen network security architecture and conduct periodic reviews.</t>
    </r>
  </si>
  <si>
    <r>
      <t>Inadequate Patch Management Process:</t>
    </r>
    <r>
      <rPr>
        <sz val="11"/>
        <color theme="1"/>
        <rFont val="Calibri"/>
        <family val="2"/>
        <scheme val="minor"/>
      </rPr>
      <t xml:space="preserve"> 
Security patches are not applied within defined timelines, leaving systems vulnerable. 
</t>
    </r>
    <r>
      <rPr>
        <b/>
        <sz val="11"/>
        <color theme="1"/>
        <rFont val="Calibri"/>
        <family val="2"/>
        <scheme val="minor"/>
      </rPr>
      <t>Recommendation:</t>
    </r>
    <r>
      <rPr>
        <sz val="11"/>
        <color theme="1"/>
        <rFont val="Calibri"/>
        <family val="2"/>
        <scheme val="minor"/>
      </rPr>
      <t xml:space="preserve"> Implement an automated patch management solution with defined SLAs.</t>
    </r>
  </si>
  <si>
    <r>
      <t>Insufficient Vulnerability Management Practices:</t>
    </r>
    <r>
      <rPr>
        <sz val="11"/>
        <color theme="1"/>
        <rFont val="Calibri"/>
        <family val="2"/>
        <scheme val="minor"/>
      </rPr>
      <t xml:space="preserve"> 
Identified vulnerabilities are not tracked to closure, and remediation timelines are not enforced. 
</t>
    </r>
    <r>
      <rPr>
        <b/>
        <sz val="11"/>
        <color theme="1"/>
        <rFont val="Calibri"/>
        <family val="2"/>
        <scheme val="minor"/>
      </rPr>
      <t>Recommendation:</t>
    </r>
    <r>
      <rPr>
        <sz val="11"/>
        <color theme="1"/>
        <rFont val="Calibri"/>
        <family val="2"/>
        <scheme val="minor"/>
      </rPr>
      <t xml:space="preserve"> Implement a vulnerability tracking system with defined SLAs and reporting.</t>
    </r>
  </si>
  <si>
    <r>
      <t>Lack of Secure Configuration Standards:</t>
    </r>
    <r>
      <rPr>
        <sz val="11"/>
        <color theme="1"/>
        <rFont val="Calibri"/>
        <family val="2"/>
        <scheme val="minor"/>
      </rPr>
      <t xml:space="preserve"> 
Systems are not configured according to secure baseline standards, increasing risk exposure. 
</t>
    </r>
    <r>
      <rPr>
        <b/>
        <sz val="11"/>
        <color theme="1"/>
        <rFont val="Calibri"/>
        <family val="2"/>
        <scheme val="minor"/>
      </rPr>
      <t>Recommendation:</t>
    </r>
    <r>
      <rPr>
        <sz val="11"/>
        <color theme="1"/>
        <rFont val="Calibri"/>
        <family val="2"/>
        <scheme val="minor"/>
      </rPr>
      <t xml:space="preserve"> Develop and enforce secure configuration baselines across all systems.</t>
    </r>
  </si>
  <si>
    <r>
      <t>Inadequate Audit Trail Retention:</t>
    </r>
    <r>
      <rPr>
        <sz val="11"/>
        <color theme="1"/>
        <rFont val="Calibri"/>
        <family val="2"/>
        <scheme val="minor"/>
      </rPr>
      <t xml:space="preserve"> 
Log retention periods do not meet regulatory requirements, limiting forensic capabilities. 
</t>
    </r>
    <r>
      <rPr>
        <b/>
        <sz val="11"/>
        <color theme="1"/>
        <rFont val="Calibri"/>
        <family val="2"/>
        <scheme val="minor"/>
      </rPr>
      <t>Recommendation:</t>
    </r>
    <r>
      <rPr>
        <sz val="11"/>
        <color theme="1"/>
        <rFont val="Calibri"/>
        <family val="2"/>
        <scheme val="minor"/>
      </rPr>
      <t xml:space="preserve"> Define and enforce log retention policies aligned with regulatory expectations.</t>
    </r>
  </si>
  <si>
    <r>
      <t>Weak Change Management Controls in IT Systems:</t>
    </r>
    <r>
      <rPr>
        <sz val="11"/>
        <color theme="1"/>
        <rFont val="Calibri"/>
        <family val="2"/>
        <scheme val="minor"/>
      </rPr>
      <t xml:space="preserve"> 
Changes to critical systems are not consistently documented or approved. 
</t>
    </r>
    <r>
      <rPr>
        <b/>
        <sz val="11"/>
        <color theme="1"/>
        <rFont val="Calibri"/>
        <family val="2"/>
        <scheme val="minor"/>
      </rPr>
      <t>Recommendation:</t>
    </r>
    <r>
      <rPr>
        <sz val="11"/>
        <color theme="1"/>
        <rFont val="Calibri"/>
        <family val="2"/>
        <scheme val="minor"/>
      </rPr>
      <t xml:space="preserve"> Strengthen change management processes with proper approvals and audit trails.</t>
    </r>
  </si>
  <si>
    <t xml:space="preserve">SBP On-site Assessment as of 31-01-2025 </t>
  </si>
  <si>
    <t>Timeline for compliance will be extended from Q2 2025 to Q4 2025.</t>
  </si>
  <si>
    <t>Q4 2020</t>
  </si>
  <si>
    <t>ML Int'l</t>
  </si>
  <si>
    <t>ML Domestic</t>
  </si>
  <si>
    <t>SBP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</si>
</sst>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
    <numFmt numFmtId="165" formatCode="[$-409]mmm\-yy;@"/>
  </numFmts>
  <fonts count="19" x14ac:knownFonts="1">
    <font>
      <sz val="11"/>
      <color theme="1"/>
      <name val="Calibri"/>
      <family val="2"/>
      <scheme val="minor"/>
    </font>
    <font>
      <sz val="10"/>
      <color theme="1"/>
      <name val="Calibri"/>
      <family val="2"/>
      <scheme val="minor"/>
    </font>
    <font>
      <b/>
      <sz val="10"/>
      <color theme="1"/>
      <name val="Calibri"/>
      <family val="2"/>
      <scheme val="minor"/>
    </font>
    <font>
      <sz val="10"/>
      <color rgb="FF000000"/>
      <name val="Arial"/>
      <family val="2"/>
    </font>
    <font>
      <b/>
      <sz val="11"/>
      <color theme="1"/>
      <name val="Calibri"/>
      <family val="2"/>
      <scheme val="minor"/>
    </font>
    <font>
      <sz val="10"/>
      <color rgb="FF000000"/>
      <name val="Calibri"/>
      <family val="2"/>
      <scheme val="minor"/>
    </font>
    <font>
      <b/>
      <sz val="9"/>
      <color theme="1"/>
      <name val="Arial"/>
      <family val="2"/>
    </font>
    <font>
      <b/>
      <sz val="9"/>
      <color rgb="FF000000"/>
      <name val="Arial"/>
      <family val="2"/>
    </font>
    <font>
      <sz val="9"/>
      <color theme="1"/>
      <name val="Arial"/>
      <family val="2"/>
    </font>
    <font>
      <b/>
      <sz val="10"/>
      <name val="Times New Roman"/>
      <family val="1"/>
    </font>
    <font>
      <sz val="8"/>
      <name val="Calibri"/>
      <family val="2"/>
      <scheme val="minor"/>
    </font>
    <font>
      <b/>
      <sz val="11"/>
      <name val="Calibri"/>
      <family val="2"/>
      <scheme val="minor"/>
    </font>
    <font>
      <b/>
      <sz val="10.5"/>
      <color rgb="FFFFFFFF"/>
      <name val="Calibri"/>
      <family val="2"/>
    </font>
    <font>
      <b/>
      <sz val="10.5"/>
      <color rgb="FFFFFFFF"/>
      <name val="Calibri Light"/>
      <family val="2"/>
      <scheme val="major"/>
    </font>
    <font>
      <b/>
      <sz val="10"/>
      <color rgb="FFFFFFFF"/>
      <name val="Calibri Light"/>
      <family val="2"/>
      <scheme val="major"/>
    </font>
    <font>
      <sz val="10.5"/>
      <color rgb="FF000000"/>
      <name val="Calibri Light"/>
      <family val="2"/>
      <scheme val="major"/>
    </font>
    <font>
      <b/>
      <sz val="10.5"/>
      <color rgb="FF000000"/>
      <name val="Calibri Light"/>
      <family val="2"/>
      <scheme val="major"/>
    </font>
    <font>
      <sz val="11"/>
      <name val="Calibri"/>
      <family val="2"/>
      <scheme val="minor"/>
    </font>
    <font>
      <sz val="12"/>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92D050"/>
        <bgColor indexed="64"/>
      </patternFill>
    </fill>
    <fill>
      <patternFill patternType="solid">
        <fgColor theme="4"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117">
    <xf numFmtId="0" fontId="0" fillId="0" borderId="0" xfId="0"/>
    <xf numFmtId="0" fontId="1" fillId="0" borderId="1" xfId="0" applyFont="1" applyBorder="1" applyAlignment="1">
      <alignment vertical="center" wrapText="1"/>
    </xf>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0" fontId="1" fillId="0" borderId="0" xfId="0" applyFont="1" applyAlignment="1">
      <alignment vertical="center" wrapText="1"/>
    </xf>
    <xf numFmtId="0" fontId="3" fillId="0" borderId="1" xfId="0" applyFont="1" applyBorder="1" applyAlignment="1">
      <alignment horizontal="left" vertical="center" wrapText="1" readingOrder="1"/>
    </xf>
    <xf numFmtId="0" fontId="0" fillId="0" borderId="1" xfId="0" applyBorder="1" applyAlignment="1">
      <alignment wrapText="1"/>
    </xf>
    <xf numFmtId="0" fontId="1" fillId="0" borderId="3" xfId="0" applyFont="1" applyBorder="1" applyAlignment="1">
      <alignment vertical="center" wrapText="1"/>
    </xf>
    <xf numFmtId="0" fontId="2" fillId="0" borderId="4" xfId="0" applyFont="1" applyBorder="1" applyAlignment="1">
      <alignment horizontal="left" vertical="center" wrapText="1"/>
    </xf>
    <xf numFmtId="0" fontId="2" fillId="0" borderId="2" xfId="0" applyFont="1" applyBorder="1" applyAlignment="1">
      <alignment horizontal="left" vertical="center" wrapText="1"/>
    </xf>
    <xf numFmtId="0" fontId="0" fillId="0" borderId="5" xfId="0" applyBorder="1"/>
    <xf numFmtId="0" fontId="2" fillId="0" borderId="6" xfId="0" applyFont="1" applyBorder="1" applyAlignment="1">
      <alignment horizontal="left" vertical="center" wrapText="1"/>
    </xf>
    <xf numFmtId="0" fontId="0" fillId="0" borderId="7" xfId="0" applyBorder="1"/>
    <xf numFmtId="0" fontId="1" fillId="0" borderId="8" xfId="0" applyFont="1" applyBorder="1" applyAlignment="1">
      <alignment vertical="center" wrapText="1"/>
    </xf>
    <xf numFmtId="0" fontId="1" fillId="0" borderId="9" xfId="0" applyFont="1" applyBorder="1" applyAlignment="1">
      <alignment vertical="center" wrapText="1"/>
    </xf>
    <xf numFmtId="15" fontId="1" fillId="0" borderId="1" xfId="0" applyNumberFormat="1" applyFont="1" applyBorder="1" applyAlignment="1">
      <alignment horizontal="left" vertical="center" wrapText="1"/>
    </xf>
    <xf numFmtId="0" fontId="0" fillId="0" borderId="7" xfId="0" applyBorder="1" applyAlignment="1">
      <alignment vertical="center"/>
    </xf>
    <xf numFmtId="0" fontId="0" fillId="0" borderId="7" xfId="0" applyBorder="1" applyAlignment="1">
      <alignment vertical="center" wrapText="1"/>
    </xf>
    <xf numFmtId="0" fontId="1" fillId="0" borderId="1" xfId="0" applyFont="1" applyBorder="1" applyAlignment="1">
      <alignment vertical="center"/>
    </xf>
    <xf numFmtId="0" fontId="1" fillId="0" borderId="0" xfId="0" applyFont="1" applyAlignment="1">
      <alignment vertical="center"/>
    </xf>
    <xf numFmtId="0" fontId="0" fillId="0" borderId="0" xfId="0" pivotButton="1"/>
    <xf numFmtId="0" fontId="0" fillId="0" borderId="0" xfId="0" applyAlignment="1">
      <alignment vertical="top"/>
    </xf>
    <xf numFmtId="0" fontId="1" fillId="0" borderId="1" xfId="0" applyFont="1" applyBorder="1" applyAlignment="1">
      <alignment vertical="top" wrapText="1"/>
    </xf>
    <xf numFmtId="0" fontId="0" fillId="0" borderId="1" xfId="0" applyBorder="1" applyAlignment="1">
      <alignment horizontal="left" vertical="top" wrapText="1"/>
    </xf>
    <xf numFmtId="165" fontId="8"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xf>
    <xf numFmtId="0" fontId="8" fillId="0" borderId="1" xfId="0" applyFont="1" applyBorder="1" applyAlignment="1">
      <alignment vertical="top" wrapText="1"/>
    </xf>
    <xf numFmtId="0" fontId="4" fillId="3" borderId="2" xfId="0" applyFont="1" applyFill="1" applyBorder="1" applyAlignment="1">
      <alignment horizont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center"/>
    </xf>
    <xf numFmtId="0" fontId="0" fillId="0" borderId="1" xfId="0"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wrapText="1"/>
    </xf>
    <xf numFmtId="2" fontId="0" fillId="0" borderId="1" xfId="0" applyNumberFormat="1" applyBorder="1" applyAlignment="1">
      <alignment horizontal="center" vertical="top"/>
    </xf>
    <xf numFmtId="49" fontId="1" fillId="0" borderId="0" xfId="0" applyNumberFormat="1" applyFont="1" applyAlignment="1">
      <alignment vertical="center"/>
    </xf>
    <xf numFmtId="0" fontId="0" fillId="2" borderId="1" xfId="0" applyFill="1" applyBorder="1" applyAlignment="1">
      <alignment horizontal="center" vertical="top" wrapText="1"/>
    </xf>
    <xf numFmtId="0" fontId="0" fillId="2" borderId="1" xfId="0" applyFill="1" applyBorder="1" applyAlignment="1">
      <alignment horizontal="center" vertical="top"/>
    </xf>
    <xf numFmtId="49" fontId="4" fillId="3" borderId="1" xfId="0" applyNumberFormat="1" applyFont="1" applyFill="1" applyBorder="1" applyAlignment="1">
      <alignment horizont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0" fillId="2" borderId="1" xfId="0" applyFill="1" applyBorder="1" applyAlignment="1">
      <alignment horizontal="left" vertical="top" wrapText="1"/>
    </xf>
    <xf numFmtId="0" fontId="1" fillId="2" borderId="0" xfId="0" applyFont="1" applyFill="1" applyAlignment="1">
      <alignment horizontal="left" vertical="center" wrapText="1"/>
    </xf>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49" fontId="0" fillId="0" borderId="1" xfId="0" applyNumberFormat="1" applyBorder="1" applyAlignment="1">
      <alignment horizontal="center" vertical="top" wrapText="1"/>
    </xf>
    <xf numFmtId="49"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0" fontId="5" fillId="0" borderId="1" xfId="0" applyFont="1" applyBorder="1" applyAlignment="1">
      <alignment horizontal="justify" vertical="top" wrapText="1"/>
    </xf>
    <xf numFmtId="0" fontId="0" fillId="0" borderId="0" xfId="0" applyAlignment="1">
      <alignment vertical="top" wrapText="1"/>
    </xf>
    <xf numFmtId="165" fontId="8" fillId="2" borderId="1" xfId="0" applyNumberFormat="1" applyFont="1" applyFill="1" applyBorder="1" applyAlignment="1">
      <alignment horizontal="center" vertical="center"/>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65" fontId="8" fillId="0" borderId="1" xfId="0" applyNumberFormat="1" applyFont="1" applyBorder="1" applyAlignment="1">
      <alignment horizontal="center" vertical="top"/>
    </xf>
    <xf numFmtId="0" fontId="8" fillId="0" borderId="1" xfId="0" applyFont="1" applyBorder="1" applyAlignment="1">
      <alignment horizontal="center" vertical="top" wrapText="1"/>
    </xf>
    <xf numFmtId="0" fontId="8" fillId="0" borderId="1" xfId="0" applyFont="1" applyBorder="1" applyAlignment="1">
      <alignment horizontal="center" vertical="top"/>
    </xf>
    <xf numFmtId="165" fontId="8" fillId="2" borderId="1" xfId="0" applyNumberFormat="1" applyFont="1" applyFill="1" applyBorder="1" applyAlignment="1">
      <alignment horizontal="center" vertical="top"/>
    </xf>
    <xf numFmtId="0" fontId="8" fillId="2" borderId="1" xfId="0" applyFont="1" applyFill="1" applyBorder="1" applyAlignment="1">
      <alignment horizontal="center" vertical="top" wrapText="1"/>
    </xf>
    <xf numFmtId="0" fontId="8" fillId="0" borderId="1" xfId="0" applyFont="1" applyBorder="1" applyAlignment="1">
      <alignment vertical="top"/>
    </xf>
    <xf numFmtId="0" fontId="8" fillId="2" borderId="1" xfId="0" applyFont="1" applyFill="1" applyBorder="1" applyAlignment="1">
      <alignment horizontal="center" vertical="top"/>
    </xf>
    <xf numFmtId="0" fontId="4" fillId="3" borderId="1" xfId="0" applyFont="1" applyFill="1" applyBorder="1" applyAlignment="1">
      <alignment horizontal="left" vertical="center"/>
    </xf>
    <xf numFmtId="0" fontId="1" fillId="0" borderId="0" xfId="0" applyFont="1" applyAlignment="1">
      <alignment horizontal="left" vertical="center"/>
    </xf>
    <xf numFmtId="0" fontId="8" fillId="0" borderId="7" xfId="0" applyFont="1" applyBorder="1" applyAlignment="1">
      <alignment horizontal="center" vertical="top" wrapText="1"/>
    </xf>
    <xf numFmtId="0" fontId="8" fillId="2" borderId="7" xfId="0" applyFont="1" applyFill="1" applyBorder="1" applyAlignment="1">
      <alignment horizontal="center" vertical="top"/>
    </xf>
    <xf numFmtId="0" fontId="8" fillId="2" borderId="2" xfId="0" applyFont="1" applyFill="1" applyBorder="1" applyAlignment="1">
      <alignment horizontal="center" vertical="center" wrapText="1"/>
    </xf>
    <xf numFmtId="0" fontId="8" fillId="0" borderId="2" xfId="0" applyFont="1" applyBorder="1" applyAlignment="1">
      <alignment horizontal="center" vertical="center"/>
    </xf>
    <xf numFmtId="0" fontId="8" fillId="0" borderId="10" xfId="0" applyFont="1" applyBorder="1" applyAlignment="1">
      <alignment horizontal="center" vertical="top"/>
    </xf>
    <xf numFmtId="0" fontId="7" fillId="3" borderId="1" xfId="0" applyFont="1" applyFill="1" applyBorder="1" applyAlignment="1">
      <alignment vertical="top" wrapText="1"/>
    </xf>
    <xf numFmtId="0" fontId="7" fillId="3" borderId="7" xfId="0" applyFont="1" applyFill="1" applyBorder="1" applyAlignment="1">
      <alignment vertical="top" wrapText="1"/>
    </xf>
    <xf numFmtId="0" fontId="0" fillId="0" borderId="1" xfId="0" applyBorder="1" applyAlignment="1">
      <alignment vertical="top"/>
    </xf>
    <xf numFmtId="0" fontId="8" fillId="0" borderId="9" xfId="0" applyFont="1" applyBorder="1" applyAlignment="1">
      <alignment vertical="top" wrapText="1"/>
    </xf>
    <xf numFmtId="0" fontId="7" fillId="3" borderId="1" xfId="0" applyFont="1" applyFill="1" applyBorder="1" applyAlignment="1">
      <alignment horizontal="left" vertical="top" wrapText="1"/>
    </xf>
    <xf numFmtId="0" fontId="1" fillId="2" borderId="1" xfId="0" applyFont="1" applyFill="1" applyBorder="1" applyAlignment="1">
      <alignment horizontal="left" vertical="center" wrapText="1"/>
    </xf>
    <xf numFmtId="17" fontId="1" fillId="0" borderId="1" xfId="0" applyNumberFormat="1" applyFont="1" applyBorder="1" applyAlignment="1">
      <alignment vertical="center"/>
    </xf>
    <xf numFmtId="0" fontId="13" fillId="5" borderId="1" xfId="0" applyFont="1" applyFill="1" applyBorder="1" applyAlignment="1">
      <alignment horizontal="center" wrapText="1" readingOrder="1"/>
    </xf>
    <xf numFmtId="0" fontId="13" fillId="5" borderId="15" xfId="0" applyFont="1" applyFill="1" applyBorder="1" applyAlignment="1">
      <alignment horizontal="center" vertical="center" wrapText="1" readingOrder="1"/>
    </xf>
    <xf numFmtId="0" fontId="14" fillId="5" borderId="16" xfId="0" applyFont="1" applyFill="1" applyBorder="1" applyAlignment="1">
      <alignment vertical="center" wrapText="1" readingOrder="1"/>
    </xf>
    <xf numFmtId="0" fontId="14" fillId="4" borderId="16" xfId="0" applyFont="1" applyFill="1" applyBorder="1" applyAlignment="1">
      <alignment vertical="center" wrapText="1" readingOrder="1"/>
    </xf>
    <xf numFmtId="0" fontId="13" fillId="5" borderId="14" xfId="0" applyFont="1" applyFill="1" applyBorder="1" applyAlignment="1">
      <alignment horizontal="center" wrapText="1" readingOrder="1"/>
    </xf>
    <xf numFmtId="0" fontId="12" fillId="5" borderId="11" xfId="0" applyFont="1" applyFill="1" applyBorder="1" applyAlignment="1">
      <alignment horizontal="left" wrapText="1" readingOrder="1"/>
    </xf>
    <xf numFmtId="0" fontId="11"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7" fillId="2" borderId="1" xfId="0" applyFont="1" applyFill="1" applyBorder="1" applyAlignment="1">
      <alignment horizontal="center" vertical="top" wrapText="1"/>
    </xf>
    <xf numFmtId="0" fontId="0" fillId="2" borderId="1" xfId="0" applyFill="1" applyBorder="1" applyAlignment="1">
      <alignment horizontal="justify" vertical="top" wrapText="1"/>
    </xf>
    <xf numFmtId="164" fontId="0" fillId="2" borderId="1" xfId="0" applyNumberFormat="1" applyFill="1" applyBorder="1" applyAlignment="1">
      <alignment horizontal="center" vertical="top"/>
    </xf>
    <xf numFmtId="0" fontId="9" fillId="3" borderId="1" xfId="0" applyFont="1" applyFill="1" applyBorder="1" applyAlignment="1">
      <alignment horizontal="center" vertical="top" wrapText="1"/>
    </xf>
    <xf numFmtId="0" fontId="9" fillId="3" borderId="1" xfId="0" applyFont="1" applyFill="1" applyBorder="1" applyAlignment="1">
      <alignment horizontal="center" vertical="top"/>
    </xf>
    <xf numFmtId="0" fontId="0" fillId="3" borderId="0" xfId="0" applyFill="1" applyAlignment="1">
      <alignment vertical="top"/>
    </xf>
    <xf numFmtId="2" fontId="11" fillId="2" borderId="1" xfId="0" applyNumberFormat="1" applyFont="1" applyFill="1" applyBorder="1" applyAlignment="1">
      <alignment horizontal="center" vertical="top" wrapText="1"/>
    </xf>
    <xf numFmtId="0" fontId="4" fillId="2" borderId="1" xfId="0" applyFont="1" applyFill="1" applyBorder="1" applyAlignment="1">
      <alignment horizontal="center" vertical="top"/>
    </xf>
    <xf numFmtId="0" fontId="11" fillId="2" borderId="1" xfId="0" applyFont="1" applyFill="1" applyBorder="1" applyAlignment="1">
      <alignment horizontal="center" vertical="top"/>
    </xf>
    <xf numFmtId="0" fontId="17" fillId="2" borderId="1" xfId="0" applyFont="1" applyFill="1" applyBorder="1" applyAlignment="1">
      <alignment horizontal="left" vertical="top" wrapText="1"/>
    </xf>
    <xf numFmtId="164" fontId="17" fillId="2" borderId="1" xfId="0" applyNumberFormat="1" applyFont="1" applyFill="1" applyBorder="1" applyAlignment="1">
      <alignment horizontal="center" vertical="top"/>
    </xf>
    <xf numFmtId="0" fontId="17" fillId="2" borderId="1" xfId="0" applyFont="1" applyFill="1" applyBorder="1" applyAlignment="1">
      <alignment horizontal="justify" vertical="top"/>
    </xf>
    <xf numFmtId="0" fontId="4" fillId="2" borderId="1" xfId="0" applyFont="1" applyFill="1" applyBorder="1" applyAlignment="1">
      <alignment horizontal="center" vertical="top" wrapText="1"/>
    </xf>
    <xf numFmtId="0" fontId="0" fillId="2" borderId="1" xfId="0" applyFill="1" applyBorder="1" applyAlignment="1">
      <alignment vertical="top"/>
    </xf>
    <xf numFmtId="164" fontId="0" fillId="4" borderId="1" xfId="0" applyNumberFormat="1" applyFill="1" applyBorder="1" applyAlignment="1">
      <alignment horizontal="center" vertical="top"/>
    </xf>
    <xf numFmtId="0" fontId="0" fillId="0" borderId="0" xfId="0" applyAlignment="1">
      <alignment vertical="center" wrapText="1"/>
    </xf>
    <xf numFmtId="0" fontId="6" fillId="0" borderId="0" xfId="0" applyFont="1" applyBorder="1" applyAlignment="1">
      <alignment horizontal="left" vertical="top" wrapText="1"/>
    </xf>
    <xf numFmtId="0" fontId="0" fillId="0" borderId="0" xfId="0" applyBorder="1" applyAlignment="1">
      <alignment vertical="top"/>
    </xf>
    <xf numFmtId="0" fontId="4" fillId="0" borderId="0" xfId="0" applyFont="1" applyAlignment="1">
      <alignment vertical="center" wrapText="1"/>
    </xf>
    <xf numFmtId="0" fontId="0" fillId="0" borderId="0" xfId="0" applyFont="1" applyAlignment="1">
      <alignment vertical="center" wrapText="1"/>
    </xf>
    <xf numFmtId="0" fontId="16" fillId="2" borderId="12" xfId="0" applyFont="1" applyFill="1" applyBorder="1" applyAlignment="1">
      <alignment horizontal="center" vertical="center" wrapText="1" readingOrder="1"/>
    </xf>
    <xf numFmtId="0" fontId="15" fillId="2" borderId="1" xfId="0" applyFont="1" applyFill="1" applyBorder="1" applyAlignment="1">
      <alignment horizontal="center" vertical="center" wrapText="1" readingOrder="1"/>
    </xf>
    <xf numFmtId="0" fontId="15" fillId="2" borderId="14" xfId="0" applyFont="1" applyFill="1" applyBorder="1" applyAlignment="1">
      <alignment horizontal="center" vertical="center" wrapText="1" readingOrder="1"/>
    </xf>
    <xf numFmtId="0" fontId="16" fillId="2" borderId="1" xfId="0" applyFont="1" applyFill="1" applyBorder="1" applyAlignment="1">
      <alignment horizontal="center" vertical="center" wrapText="1" readingOrder="1"/>
    </xf>
    <xf numFmtId="0" fontId="0" fillId="0" borderId="0" xfId="0" applyFont="1" applyAlignment="1">
      <alignment horizontal="left" vertical="center" wrapText="1"/>
    </xf>
    <xf numFmtId="0" fontId="0" fillId="0" borderId="0" xfId="0" applyAlignment="1">
      <alignment horizontal="left" vertical="center"/>
    </xf>
    <xf numFmtId="0" fontId="14" fillId="5" borderId="16" xfId="0" applyFont="1" applyFill="1" applyBorder="1" applyAlignment="1">
      <alignment horizontal="center" vertical="center" wrapText="1" readingOrder="1"/>
    </xf>
    <xf numFmtId="0" fontId="14" fillId="5" borderId="17" xfId="0" applyFont="1" applyFill="1" applyBorder="1" applyAlignment="1">
      <alignment horizontal="center" vertical="center" wrapText="1" readingOrder="1"/>
    </xf>
    <xf numFmtId="0" fontId="14" fillId="5" borderId="13" xfId="0" applyFont="1" applyFill="1" applyBorder="1" applyAlignment="1">
      <alignment horizontal="center" vertical="center" wrapText="1" readingOrder="1"/>
    </xf>
    <xf numFmtId="0" fontId="14" fillId="5" borderId="1" xfId="0" applyFont="1" applyFill="1" applyBorder="1" applyAlignment="1">
      <alignment horizontal="center" vertical="center" wrapText="1" readingOrder="1"/>
    </xf>
    <xf numFmtId="0" fontId="15" fillId="2" borderId="1" xfId="0" applyFont="1" applyFill="1" applyBorder="1" applyAlignment="1">
      <alignment horizontal="center" vertical="center" readingOrder="1"/>
    </xf>
  </cellXfs>
  <cellStyles count="1">
    <cellStyle name="Normal" xfId="0" builtinId="0"/>
  </cellStyles>
  <dxfs count="14">
    <dxf>
      <font>
        <color rgb="FF000000"/>
      </font>
    </dxf>
    <dxf>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numFmt numFmtId="166" formatCode="mm/dd/yy;@"/>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0"/>
        <color theme="1"/>
        <name val="Calibri"/>
        <scheme val="minor"/>
      </font>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ilal Tasneem" refreshedDate="44757.479943402781" createdVersion="7" refreshedVersion="7" minRefreshableVersion="3" recordCount="14">
  <cacheSource type="worksheet">
    <worksheetSource ref="A1:H15" sheet="PwC-Audit-Domestic-Intl."/>
  </cacheSource>
  <cacheFields count="8">
    <cacheField name="S#" numFmtId="0">
      <sharedItems containsSemiMixedTypes="0" containsString="0" containsNumber="1" containsInteger="1" minValue="1" maxValue="13"/>
    </cacheField>
    <cacheField name="Description" numFmtId="0">
      <sharedItems/>
    </cacheField>
    <cacheField name="Observations" numFmtId="0">
      <sharedItems longText="1"/>
    </cacheField>
    <cacheField name="IS Comments" numFmtId="0">
      <sharedItems/>
    </cacheField>
    <cacheField name="Target Date" numFmtId="0">
      <sharedItems containsBlank="1"/>
    </cacheField>
    <cacheField name="Status" numFmtId="0">
      <sharedItems count="4">
        <s v="In-progress"/>
        <s v="To be Started"/>
        <s v="Closed"/>
        <s v="Completed" u="1"/>
      </sharedItems>
    </cacheField>
    <cacheField name="Location" numFmtId="0">
      <sharedItems/>
    </cacheField>
    <cacheField name="PwC Remark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1"/>
    <s v="IT Control Environment: Access management policy and password history and failed login attempts are not documented"/>
    <s v="Management has not documented access management policy and procedure for operating system users. Moreover, we  noted that password policy is not comprehensively documented by the management. Following parameters are neither covered in password policy and nor implemented in the systems._x000a_Password history_x000a_Failed logon attempts_x000a_"/>
    <s v="These two points will be incorporated in the Policy and same will be implemented in across UBL assets. Timeline will be Q3-2022_x000a_"/>
    <s v="Q3-2022"/>
    <x v="0"/>
    <s v="Domesitc/International"/>
    <m/>
  </r>
  <r>
    <n v="2"/>
    <s v="Cyber Security Controls: Weaknesses identified in risk assessment"/>
    <s v="During our review, we have obtained the Information / Cyber Security Risk Management Framework which was approved by the UBL Board of Directors on 13th March 2017 states the following:_x000a__x000a_3.2 Applicability of ISRMF for assets that are in the production environments:_x000a__x000a_Step 3.2.1:_x000a_Based on Technology assets inventory, the IS Risk function will annually identify assets in production that are critical from the perspective of _x000a_confidentiality and integrity of information, in accordance with the ISRMF approach detailed in Section 4 below._x000a_ _x000a_Step 3.2.2: _x000a_The IS Risk function will draw up an annual schedule of risk assessments to be conducted on the critical assets that are candidates for an _x000a_information / cyber security risk assessment._x000a__x000a_However, comprehensive risk assessment exercise has not been conducted for the in-scope information asset. _x000a_"/>
    <s v="IS has started the comprehensive risk assessment of critical applications. Evidence will be shared in separate email._x000a_"/>
    <s v="on-going activity"/>
    <x v="0"/>
    <s v="Domesitc/International"/>
    <m/>
  </r>
  <r>
    <n v="3"/>
    <s v="Cyber Security Controls: Weaknesses found in Security Information and Event Management (SIEM)"/>
    <s v="Management shall integrate all critical application and database to SIEM for the effective monitoring and detection of unusual activities and events on information system such as unauthorized account access, unauthorized file /system access, access out of hours, access to sensitive data, unusual access_x000a__x000a_"/>
    <s v="It will be integrated with SIEM by Q2-2022._x000a_"/>
    <s v="Q2-2022"/>
    <x v="0"/>
    <s v="Domestic"/>
    <m/>
  </r>
  <r>
    <n v="4"/>
    <s v="Cyber Security Controls: Weaknesses identified in asset classification"/>
    <s v="It is recommended that comprehensive and detailed asset classification should be performed to identify the most critical information assets hence protecting the confidentiality, integrity and availability of the information and documented shall be periodically reviewed and updated accordingly_x000a_"/>
    <s v="IS will performed the asset classification will be completed for above mention applications by Q4-2022"/>
    <s v="Q4-2022"/>
    <x v="1"/>
    <s v="Domestic"/>
    <m/>
  </r>
  <r>
    <n v="5"/>
    <s v="Cyber Security Controls: Weaknesses identified in incident response plan"/>
    <s v="During our review, we have noted that Cyber Security Incident Response SOP v1.1 is in place which is reviewed by Mr. Farhan Javaid on 10th June 2021 and consent by CISO on 10th June 2021 accordingly._x000a__x000a_Further, during our review, we have noted that current document is majorly focused on SOC and SIRP, management of other information security incident are not document. Further, training frequency of incident response team along with the details of steps to be taken upon post operation has not been defined. _x000a_"/>
    <s v="Evidence shall be shared separately, further this shall be updated by Q4-2022_x000a_"/>
    <s v="Q4-2022"/>
    <x v="1"/>
    <s v="Domestic/International"/>
    <m/>
  </r>
  <r>
    <n v="6"/>
    <s v="Cyber Security Controls: Weaknesses identified in baseline configuration procedure"/>
    <s v="During our review, we have noted that bank has developed configuration and security baseline document in accordance with CIS benchmark.  Further, we have been informed that baseline configuration periodic assessment is performed on random basis by IS. _x000a__x000a_However, periodic baseline security assessment for the following in-scope information systems are not provided. Furthermore, there is no process in place for the review of baseline configurations:_x000a_Symbols--Completed_x000a_Oracle EBS--InProgress_x000a_Sierra--TBI_x000a_CTL Prime--TBI_x000a_Omni--TBI_x000a_IFRS16--Completed_x000a_Muawaza--TBI_x000a_Safe Watch--Inprogress_x000a_FCCM--Inprogress_x000a_"/>
    <s v="The review will be performed on above applications and will shared results  by Q3-2022._x000a_"/>
    <s v="Q3-2022"/>
    <x v="0"/>
    <s v="Domestic"/>
    <m/>
  </r>
  <r>
    <n v="7"/>
    <s v=".Cyber Security Controls: Weaknesses Identified in data loss prevention procedure"/>
    <s v="It is recommended that management shall adopt the adequate practice of detecting and preventing data breaches, exfiltration, or unwanted destruction of sensitive data over the enterprise network._x000a_"/>
    <s v="IS: Data Classification framework is initiated and will be completed by Q3-2022_x000a_ITG: RFP completed, evaluation in process. Implementation will be done once Data Classification framework is finalized"/>
    <s v="Q3-2022"/>
    <x v="0"/>
    <s v="Domesitc/International"/>
    <m/>
  </r>
  <r>
    <n v="8"/>
    <s v="Cyber Security Controls: Weaknesses identified in vulnerability assessment procedure"/>
    <s v="During the review, we have noted that the bank has performed penetration testing exercise on the external segment only. Further, bank has performed vulnerability assessments for the in-scope application which are defined in the existing risk register_x000a__x000a_However, vulnerability assessment for the following assts has not ben conducted._x000a__x000a_CTL Prime (10.224.111.55)_x000a_IFRS (10.1.102.122)_x000a_Safewatch (10.1.110.167, 10.1.110.168)_x000a_"/>
    <s v="For CTL Prime it is test machine we will provide the production VA report of above mention application._x000a_IP addresses (10.1.102.122) and (10.1.110.167) will be integrated with SIEM and results will be shared in Q2-2022._x000a_"/>
    <s v="-"/>
    <x v="2"/>
    <s v="Domesitc"/>
    <s v="PwC Response Awaited"/>
  </r>
  <r>
    <n v="9"/>
    <s v="Cyber Security Controls: Weaknesses in Organogram of IS Department"/>
    <s v="During our review, we have noted that bank has office of Chief Information Security Officer which is headed by Chief Information Security Officer - CISO. Further, CISO directly reports to Chief risk officer -CRO and CRO  directly reports to CEO._x000a__x000a_However, the provided organogram has not been approved by the management._x000a_"/>
    <s v="We will provide updated and sign off organogram of Info Sec Department by Q2-2022._x000a_"/>
    <s v="Q2-2022"/>
    <x v="2"/>
    <s v="International"/>
    <s v="PwC Response Awaited"/>
  </r>
  <r>
    <n v="10"/>
    <s v="Cyber Security Controls: Weaknesses identified in risk assessment"/>
    <s v="During our review, we have obtained the Information / Cyber Security Risk Management Framework which was approved by the UBL Board of Directors on 13th March 2017 states the following:_x000a__x000a_3.2 Applicability of ISRMF for assets that are in the production environments:_x000a__x000a_Step 3.2.1:_x000a_Based on Technology assets inventory, the IS Risk function will annually identify assets in production that are critical from the perspective of _x000a_confidentiality and integrity of information, in accordance with the ISRMF approach detailed in Section 4 below._x000a_ _x000a_Step 3.2.2: _x000a_The IS Risk function will draw up an annual schedule of risk assessments to be conducted on the critical assets that are candidates for an _x000a_information / cyber security risk assessment._x000a__x000a_However, comprehensive risk assessment exercise has not been conducted for the in-scope information asset. _x000a_"/>
    <s v="In-scope assessment for Symbols for International location have been completed.  This Observation should be marked as closed."/>
    <s v="-"/>
    <x v="2"/>
    <s v="International"/>
    <s v="PwC Response Awaited"/>
  </r>
  <r>
    <n v="11"/>
    <s v="Cyber Security Controls: Weaknesses found in Security Information and Event Management (SIEM)"/>
    <s v="During our review we have noted that following information systems are not integrated with centralize security information and event management systems (SIEM). _x000a__x000a_However, we have been informed the project is in deployment phase. _x000a__x000a_Symbols UAE_x000a_Symbols Bahrain_x000a_Symbols Qatar_x000a_"/>
    <s v="In International, SIEM integration is in-progress and this is on-going activity._x000a__x000a_Symbols for International integration with SIEM have been completed._x000a_"/>
    <m/>
    <x v="2"/>
    <s v="International"/>
    <s v="PwC Response Awaited"/>
  </r>
  <r>
    <n v="11"/>
    <s v="Cyber Security Controls: Weaknesses identified in asset classification"/>
    <s v="During the review we have noted that the bank has developed document for classification of UBL Information Assets_x000a__x000a_However, asset classification for the following has not been conducted._x000a__x000a_Symbols UAE (172.16.35.113, 172.16.35.119)_x000a_Symbols Bahrain (10.1.224.11, 10.1.224.12)_x000a_Symbols Qatar (10.1.160.11, 10.1.160.12)_x000a_"/>
    <s v="IS team will perform the detail asset classification of above mention applications/assets accordingly._x000a_"/>
    <s v="Q4-2022"/>
    <x v="0"/>
    <s v="International"/>
    <m/>
  </r>
  <r>
    <n v="12"/>
    <s v="Cyber Security Controls: Weaknesses identified in baseline configuration procedure"/>
    <s v="During our review, we have noted that bank has developed configuration and security baseline document in accordance with CIS benchmark.  Further, we have been informed that baseline configuration periodic assessment is performed on random basis by IS. _x000a__x000a_However, periodic assessment for the following in-scope information systems are not provided. Furthermore, there is no process in place for the review of baseline configurations:_x000a_Symbols UAE_x000a_Symbols Qatar_x000a_Symbols Bahrain_x000a_"/>
    <s v="We will incorporate in-scope assets and key systems, networks and servers and it will be reviewed periodically._x000a_"/>
    <s v="Q4-2022"/>
    <x v="0"/>
    <s v="International"/>
    <m/>
  </r>
  <r>
    <n v="13"/>
    <s v="Cyber Security Controls: Weaknesses identified in vulnerability assessment procedure"/>
    <s v="During the review, we have noted that the bank has performed penetration testing exercise on the external segment only. Further, bank has performed vulnerability assessments for the in-scope application which are defined in the existing risk register_x000a__x000a_However, vulnerability assessment for the Symbols Qatar application assts has not ben conducted._x000a_"/>
    <s v="We will incorporated vulnerability assessment of systems periodically with the involvement of business users._x000a_"/>
    <s v="Q4-2022"/>
    <x v="0"/>
    <s v="International"/>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7" firstHeaderRow="1" firstDataRow="1" firstDataCol="1"/>
  <pivotFields count="8">
    <pivotField compact="0" outline="0" showAll="0"/>
    <pivotField compact="0" outline="0" showAll="0"/>
    <pivotField compact="0" outline="0" showAll="0"/>
    <pivotField compact="0" outline="0" showAll="0"/>
    <pivotField compact="0" outline="0" showAll="0"/>
    <pivotField axis="axisRow" dataField="1" compact="0" outline="0" showAll="0">
      <items count="5">
        <item x="2"/>
        <item m="1" x="3"/>
        <item x="0"/>
        <item x="1"/>
        <item t="default"/>
      </items>
    </pivotField>
    <pivotField compact="0" outline="0" showAll="0"/>
    <pivotField compact="0" outline="0" showAll="0"/>
  </pivotFields>
  <rowFields count="1">
    <field x="5"/>
  </rowFields>
  <rowItems count="4">
    <i>
      <x/>
    </i>
    <i>
      <x v="2"/>
    </i>
    <i>
      <x v="3"/>
    </i>
    <i t="grand">
      <x/>
    </i>
  </rowItems>
  <colItems count="1">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AuditObs" displayName="AuditObs" ref="D2:K23" totalsRowShown="0" headerRowDxfId="13" dataDxfId="11" headerRowBorderDxfId="12" tableBorderDxfId="10" totalsRowBorderDxfId="9">
  <autoFilter ref="D2:K23"/>
  <tableColumns count="8">
    <tableColumn id="1" name="S#" dataDxfId="8"/>
    <tableColumn id="2" name="Description" dataDxfId="7"/>
    <tableColumn id="3" name="Source" dataDxfId="6"/>
    <tableColumn id="4" name="Raised By:" dataDxfId="5"/>
    <tableColumn id="5" name="Responsible" dataDxfId="4"/>
    <tableColumn id="6" name="Target Completion date" dataDxfId="3"/>
    <tableColumn id="7" name="Next action Item" dataDxfId="2"/>
    <tableColumn id="8" name="Statu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K24"/>
  <sheetViews>
    <sheetView zoomScale="85" zoomScaleNormal="85" workbookViewId="0">
      <selection activeCell="D2" sqref="D2:K2"/>
    </sheetView>
  </sheetViews>
  <sheetFormatPr defaultRowHeight="14.5" x14ac:dyDescent="0.35"/>
  <cols>
    <col min="4" max="4" width="4.81640625" customWidth="1"/>
    <col min="5" max="5" width="62.81640625" customWidth="1"/>
    <col min="6" max="6" width="15.54296875" customWidth="1"/>
    <col min="7" max="7" width="11.453125" customWidth="1"/>
    <col min="8" max="8" width="12.54296875" customWidth="1"/>
    <col min="9" max="9" width="21.54296875" customWidth="1"/>
    <col min="10" max="10" width="39.7265625" customWidth="1"/>
    <col min="11" max="11" width="10.81640625" customWidth="1"/>
  </cols>
  <sheetData>
    <row r="2" spans="4:11" x14ac:dyDescent="0.35">
      <c r="D2" s="9" t="s">
        <v>0</v>
      </c>
      <c r="E2" s="10" t="s">
        <v>1</v>
      </c>
      <c r="F2" s="10" t="s">
        <v>26</v>
      </c>
      <c r="G2" s="10" t="s">
        <v>2</v>
      </c>
      <c r="H2" s="10" t="s">
        <v>3</v>
      </c>
      <c r="I2" s="10" t="s">
        <v>4</v>
      </c>
      <c r="J2" s="10" t="s">
        <v>19</v>
      </c>
      <c r="K2" s="12" t="s">
        <v>60</v>
      </c>
    </row>
    <row r="3" spans="4:11" ht="78" x14ac:dyDescent="0.35">
      <c r="D3" s="8">
        <v>1</v>
      </c>
      <c r="E3" s="1" t="s">
        <v>5</v>
      </c>
      <c r="F3" s="1" t="s">
        <v>27</v>
      </c>
      <c r="G3" s="1" t="s">
        <v>6</v>
      </c>
      <c r="H3" s="1" t="s">
        <v>7</v>
      </c>
      <c r="I3" s="1" t="s">
        <v>8</v>
      </c>
      <c r="J3" s="2"/>
      <c r="K3" s="13"/>
    </row>
    <row r="4" spans="4:11" ht="26" x14ac:dyDescent="0.35">
      <c r="D4" s="8">
        <v>2</v>
      </c>
      <c r="E4" s="1" t="s">
        <v>9</v>
      </c>
      <c r="F4" s="1"/>
      <c r="G4" s="1" t="s">
        <v>10</v>
      </c>
      <c r="H4" s="1" t="s">
        <v>11</v>
      </c>
      <c r="I4" s="1" t="s">
        <v>12</v>
      </c>
      <c r="J4" s="2"/>
      <c r="K4" s="18" t="s">
        <v>67</v>
      </c>
    </row>
    <row r="5" spans="4:11" x14ac:dyDescent="0.35">
      <c r="D5" s="8">
        <v>3</v>
      </c>
      <c r="E5" s="1" t="s">
        <v>13</v>
      </c>
      <c r="F5" s="1"/>
      <c r="G5" s="1" t="s">
        <v>6</v>
      </c>
      <c r="H5" s="1" t="s">
        <v>14</v>
      </c>
      <c r="I5" s="1" t="s">
        <v>12</v>
      </c>
      <c r="J5" s="2"/>
      <c r="K5" s="13"/>
    </row>
    <row r="6" spans="4:11" ht="39" x14ac:dyDescent="0.35">
      <c r="D6" s="8">
        <v>4</v>
      </c>
      <c r="E6" s="1" t="s">
        <v>23</v>
      </c>
      <c r="F6" s="1" t="s">
        <v>27</v>
      </c>
      <c r="G6" s="1" t="s">
        <v>6</v>
      </c>
      <c r="H6" s="1" t="s">
        <v>15</v>
      </c>
      <c r="I6" s="1" t="s">
        <v>12</v>
      </c>
      <c r="J6" s="1" t="s">
        <v>24</v>
      </c>
      <c r="K6" s="18" t="s">
        <v>68</v>
      </c>
    </row>
    <row r="7" spans="4:11" ht="65" x14ac:dyDescent="0.35">
      <c r="D7" s="8">
        <v>5</v>
      </c>
      <c r="E7" s="1" t="s">
        <v>16</v>
      </c>
      <c r="F7" s="1" t="s">
        <v>27</v>
      </c>
      <c r="G7" s="1" t="s">
        <v>6</v>
      </c>
      <c r="H7" s="1" t="s">
        <v>17</v>
      </c>
      <c r="I7" s="16">
        <v>44681</v>
      </c>
      <c r="J7" s="1" t="s">
        <v>18</v>
      </c>
      <c r="K7" s="18" t="s">
        <v>68</v>
      </c>
    </row>
    <row r="8" spans="4:11" ht="117" x14ac:dyDescent="0.35">
      <c r="D8" s="8">
        <v>6</v>
      </c>
      <c r="E8" s="1" t="s">
        <v>20</v>
      </c>
      <c r="F8" s="1" t="s">
        <v>27</v>
      </c>
      <c r="G8" s="1" t="s">
        <v>6</v>
      </c>
      <c r="H8" s="1" t="s">
        <v>22</v>
      </c>
      <c r="I8" s="16">
        <v>44659</v>
      </c>
      <c r="J8" s="1" t="s">
        <v>21</v>
      </c>
      <c r="K8" s="18" t="s">
        <v>69</v>
      </c>
    </row>
    <row r="9" spans="4:11" ht="91" x14ac:dyDescent="0.35">
      <c r="D9" s="8">
        <v>7</v>
      </c>
      <c r="E9" s="1" t="s">
        <v>25</v>
      </c>
      <c r="F9" s="1" t="s">
        <v>27</v>
      </c>
      <c r="G9" s="1" t="s">
        <v>6</v>
      </c>
      <c r="H9" s="1" t="s">
        <v>28</v>
      </c>
      <c r="I9" s="16">
        <v>44681</v>
      </c>
      <c r="J9" s="1" t="s">
        <v>29</v>
      </c>
      <c r="K9" s="18" t="s">
        <v>70</v>
      </c>
    </row>
    <row r="10" spans="4:11" ht="65" x14ac:dyDescent="0.35">
      <c r="D10" s="8">
        <v>8</v>
      </c>
      <c r="E10" s="1" t="s">
        <v>30</v>
      </c>
      <c r="F10" s="1" t="s">
        <v>27</v>
      </c>
      <c r="G10" s="1"/>
      <c r="H10" s="1" t="s">
        <v>31</v>
      </c>
      <c r="I10" s="16">
        <v>44712</v>
      </c>
      <c r="J10" s="3" t="s">
        <v>66</v>
      </c>
      <c r="K10" s="13"/>
    </row>
    <row r="11" spans="4:11" ht="26" x14ac:dyDescent="0.35">
      <c r="D11" s="8">
        <v>9</v>
      </c>
      <c r="E11" s="1" t="s">
        <v>32</v>
      </c>
      <c r="F11" s="1" t="s">
        <v>33</v>
      </c>
      <c r="G11" s="1" t="s">
        <v>33</v>
      </c>
      <c r="H11" s="1" t="s">
        <v>34</v>
      </c>
      <c r="I11" s="16">
        <v>44926</v>
      </c>
      <c r="J11" s="2"/>
      <c r="K11" s="13" t="s">
        <v>71</v>
      </c>
    </row>
    <row r="12" spans="4:11" x14ac:dyDescent="0.35">
      <c r="D12" s="8">
        <v>10</v>
      </c>
      <c r="E12" s="1" t="s">
        <v>35</v>
      </c>
      <c r="F12" s="1" t="s">
        <v>33</v>
      </c>
      <c r="G12" s="1" t="s">
        <v>33</v>
      </c>
      <c r="H12" s="1" t="s">
        <v>34</v>
      </c>
      <c r="I12" s="16">
        <v>44742</v>
      </c>
      <c r="J12" s="2"/>
      <c r="K12" s="13" t="s">
        <v>68</v>
      </c>
    </row>
    <row r="13" spans="4:11" ht="39" x14ac:dyDescent="0.35">
      <c r="D13" s="8">
        <v>11</v>
      </c>
      <c r="E13" s="1" t="s">
        <v>36</v>
      </c>
      <c r="F13" s="1" t="s">
        <v>38</v>
      </c>
      <c r="G13" s="1" t="s">
        <v>37</v>
      </c>
      <c r="H13" s="1" t="s">
        <v>39</v>
      </c>
      <c r="I13" s="16">
        <v>44834</v>
      </c>
      <c r="J13" s="4" t="s">
        <v>61</v>
      </c>
      <c r="K13" s="17" t="s">
        <v>71</v>
      </c>
    </row>
    <row r="14" spans="4:11" ht="39" x14ac:dyDescent="0.35">
      <c r="D14" s="8">
        <v>12</v>
      </c>
      <c r="E14" s="1" t="s">
        <v>64</v>
      </c>
      <c r="F14" s="1" t="s">
        <v>38</v>
      </c>
      <c r="G14" s="1" t="s">
        <v>37</v>
      </c>
      <c r="H14" s="1" t="s">
        <v>39</v>
      </c>
      <c r="I14" s="16">
        <v>44681</v>
      </c>
      <c r="J14" s="1" t="s">
        <v>65</v>
      </c>
      <c r="K14" s="17" t="s">
        <v>67</v>
      </c>
    </row>
    <row r="15" spans="4:11" ht="39" x14ac:dyDescent="0.35">
      <c r="D15" s="8">
        <v>13</v>
      </c>
      <c r="E15" s="1" t="s">
        <v>40</v>
      </c>
      <c r="F15" s="1" t="s">
        <v>38</v>
      </c>
      <c r="G15" s="1" t="s">
        <v>37</v>
      </c>
      <c r="H15" s="1" t="s">
        <v>39</v>
      </c>
      <c r="I15" s="16">
        <v>44834</v>
      </c>
      <c r="J15" s="4" t="s">
        <v>62</v>
      </c>
      <c r="K15" s="13" t="s">
        <v>71</v>
      </c>
    </row>
    <row r="16" spans="4:11" ht="39" x14ac:dyDescent="0.35">
      <c r="D16" s="8">
        <v>14</v>
      </c>
      <c r="E16" s="1" t="s">
        <v>41</v>
      </c>
      <c r="F16" s="1" t="s">
        <v>38</v>
      </c>
      <c r="G16" s="1" t="s">
        <v>42</v>
      </c>
      <c r="H16" s="1" t="s">
        <v>39</v>
      </c>
      <c r="I16" s="16">
        <v>44834</v>
      </c>
      <c r="J16" s="4" t="s">
        <v>63</v>
      </c>
      <c r="K16" s="13"/>
    </row>
    <row r="17" spans="4:11" ht="37.5" x14ac:dyDescent="0.35">
      <c r="D17" s="8">
        <v>15</v>
      </c>
      <c r="E17" s="1" t="s">
        <v>43</v>
      </c>
      <c r="F17" s="1" t="s">
        <v>44</v>
      </c>
      <c r="G17" s="1" t="s">
        <v>45</v>
      </c>
      <c r="H17" s="1" t="s">
        <v>39</v>
      </c>
      <c r="I17" s="16">
        <v>44834</v>
      </c>
      <c r="J17" s="6" t="s">
        <v>46</v>
      </c>
      <c r="K17" s="13"/>
    </row>
    <row r="18" spans="4:11" ht="58" x14ac:dyDescent="0.35">
      <c r="D18" s="8">
        <v>16</v>
      </c>
      <c r="E18" s="1" t="s">
        <v>47</v>
      </c>
      <c r="F18" s="1" t="s">
        <v>44</v>
      </c>
      <c r="G18" s="1" t="s">
        <v>45</v>
      </c>
      <c r="H18" s="1" t="s">
        <v>39</v>
      </c>
      <c r="I18" s="16">
        <v>44742</v>
      </c>
      <c r="J18" s="7" t="s">
        <v>48</v>
      </c>
      <c r="K18" s="13"/>
    </row>
    <row r="19" spans="4:11" ht="39" x14ac:dyDescent="0.35">
      <c r="D19" s="8">
        <v>17</v>
      </c>
      <c r="E19" s="1" t="s">
        <v>49</v>
      </c>
      <c r="F19" s="1" t="s">
        <v>44</v>
      </c>
      <c r="G19" s="1" t="s">
        <v>45</v>
      </c>
      <c r="H19" s="1" t="s">
        <v>39</v>
      </c>
      <c r="I19" s="16">
        <v>44926</v>
      </c>
      <c r="J19" s="1" t="s">
        <v>50</v>
      </c>
      <c r="K19" s="13"/>
    </row>
    <row r="20" spans="4:11" ht="26" x14ac:dyDescent="0.35">
      <c r="D20" s="8">
        <v>18</v>
      </c>
      <c r="E20" s="1" t="s">
        <v>51</v>
      </c>
      <c r="F20" s="1" t="s">
        <v>44</v>
      </c>
      <c r="G20" s="1" t="s">
        <v>45</v>
      </c>
      <c r="H20" s="1" t="s">
        <v>39</v>
      </c>
      <c r="I20" s="16">
        <v>44742</v>
      </c>
      <c r="J20" s="1" t="s">
        <v>52</v>
      </c>
      <c r="K20" s="13"/>
    </row>
    <row r="21" spans="4:11" ht="52" x14ac:dyDescent="0.35">
      <c r="D21" s="8">
        <v>19</v>
      </c>
      <c r="E21" s="1" t="s">
        <v>53</v>
      </c>
      <c r="F21" s="1" t="s">
        <v>44</v>
      </c>
      <c r="G21" s="1" t="s">
        <v>45</v>
      </c>
      <c r="H21" s="1" t="s">
        <v>39</v>
      </c>
      <c r="I21" s="16">
        <v>44926</v>
      </c>
      <c r="J21" s="1" t="s">
        <v>54</v>
      </c>
      <c r="K21" s="13"/>
    </row>
    <row r="22" spans="4:11" ht="26" x14ac:dyDescent="0.35">
      <c r="D22" s="8">
        <v>20</v>
      </c>
      <c r="E22" s="1" t="s">
        <v>55</v>
      </c>
      <c r="F22" s="1" t="s">
        <v>44</v>
      </c>
      <c r="G22" s="1" t="s">
        <v>45</v>
      </c>
      <c r="H22" s="1" t="s">
        <v>39</v>
      </c>
      <c r="I22" s="16">
        <v>44926</v>
      </c>
      <c r="J22" s="1" t="s">
        <v>56</v>
      </c>
      <c r="K22" s="13"/>
    </row>
    <row r="23" spans="4:11" ht="39" x14ac:dyDescent="0.35">
      <c r="D23" s="14">
        <v>21</v>
      </c>
      <c r="E23" s="15" t="s">
        <v>57</v>
      </c>
      <c r="F23" s="15" t="s">
        <v>44</v>
      </c>
      <c r="G23" s="15" t="s">
        <v>45</v>
      </c>
      <c r="H23" s="15" t="s">
        <v>39</v>
      </c>
      <c r="I23" s="16">
        <v>44834</v>
      </c>
      <c r="J23" s="1" t="s">
        <v>58</v>
      </c>
      <c r="K23" s="11"/>
    </row>
    <row r="24" spans="4:11" x14ac:dyDescent="0.35">
      <c r="J24" s="5" t="s">
        <v>59</v>
      </c>
    </row>
  </sheetData>
  <pageMargins left="0.7" right="0.7" top="0.75" bottom="0.75" header="0.3" footer="0.3"/>
  <pageSetup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4" sqref="B4"/>
    </sheetView>
  </sheetViews>
  <sheetFormatPr defaultRowHeight="14.5" x14ac:dyDescent="0.35"/>
  <cols>
    <col min="1" max="1" width="12.7265625" bestFit="1" customWidth="1"/>
    <col min="2" max="2" width="14.54296875" bestFit="1" customWidth="1"/>
  </cols>
  <sheetData>
    <row r="3" spans="1:2" x14ac:dyDescent="0.35">
      <c r="A3" s="21" t="s">
        <v>60</v>
      </c>
      <c r="B3" t="s">
        <v>85</v>
      </c>
    </row>
    <row r="4" spans="1:2" x14ac:dyDescent="0.35">
      <c r="A4" t="s">
        <v>74</v>
      </c>
      <c r="B4">
        <v>4</v>
      </c>
    </row>
    <row r="5" spans="1:2" x14ac:dyDescent="0.35">
      <c r="A5" t="s">
        <v>68</v>
      </c>
      <c r="B5">
        <v>8</v>
      </c>
    </row>
    <row r="6" spans="1:2" x14ac:dyDescent="0.35">
      <c r="A6" t="s">
        <v>83</v>
      </c>
      <c r="B6">
        <v>2</v>
      </c>
    </row>
    <row r="7" spans="1:2" x14ac:dyDescent="0.35">
      <c r="A7" t="s">
        <v>84</v>
      </c>
      <c r="B7">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zoomScaleNormal="100" workbookViewId="0">
      <pane ySplit="1" topLeftCell="A2" activePane="bottomLeft" state="frozen"/>
      <selection pane="bottomLeft" activeCell="C4" sqref="C4"/>
    </sheetView>
  </sheetViews>
  <sheetFormatPr defaultRowHeight="14.5" x14ac:dyDescent="0.35"/>
  <cols>
    <col min="1" max="1" width="5.90625" style="22" customWidth="1"/>
    <col min="2" max="2" width="18.54296875" style="102" customWidth="1"/>
    <col min="3" max="3" width="46.1796875" style="103" customWidth="1"/>
    <col min="4" max="4" width="48.54296875" style="103" customWidth="1"/>
    <col min="5" max="5" width="9.54296875" style="103" customWidth="1"/>
    <col min="6" max="6" width="6.90625" style="103" customWidth="1"/>
    <col min="7" max="7" width="7.81640625" style="103" bestFit="1" customWidth="1"/>
    <col min="8" max="8" width="9.81640625" style="103" customWidth="1"/>
    <col min="9" max="9" width="8.81640625" style="103" customWidth="1"/>
    <col min="10" max="16384" width="8.7265625" style="22"/>
  </cols>
  <sheetData>
    <row r="1" spans="1:9" ht="34.5" x14ac:dyDescent="0.35">
      <c r="A1" s="71" t="s">
        <v>102</v>
      </c>
      <c r="B1" s="75" t="s">
        <v>103</v>
      </c>
      <c r="C1" s="71" t="s">
        <v>76</v>
      </c>
      <c r="D1" s="71" t="s">
        <v>97</v>
      </c>
      <c r="E1" s="71" t="s">
        <v>77</v>
      </c>
      <c r="F1" s="71" t="s">
        <v>60</v>
      </c>
      <c r="G1" s="71" t="s">
        <v>101</v>
      </c>
      <c r="H1" s="72" t="s">
        <v>104</v>
      </c>
      <c r="I1" s="71" t="s">
        <v>105</v>
      </c>
    </row>
    <row r="2" spans="1:9" ht="43.5" x14ac:dyDescent="0.35">
      <c r="A2" s="59">
        <v>2024</v>
      </c>
      <c r="B2" s="105" t="s">
        <v>180</v>
      </c>
      <c r="C2" s="105" t="s">
        <v>181</v>
      </c>
      <c r="D2" s="105" t="s">
        <v>182</v>
      </c>
      <c r="E2" s="57" t="s">
        <v>165</v>
      </c>
      <c r="F2" s="58" t="s">
        <v>74</v>
      </c>
      <c r="G2" s="105" t="s">
        <v>89</v>
      </c>
      <c r="H2" s="66" t="s">
        <v>73</v>
      </c>
      <c r="I2" s="70" t="s">
        <v>39</v>
      </c>
    </row>
    <row r="3" spans="1:9" ht="43.5" x14ac:dyDescent="0.35">
      <c r="A3" s="59">
        <v>2024</v>
      </c>
      <c r="B3" s="105" t="s">
        <v>180</v>
      </c>
      <c r="C3" s="105" t="s">
        <v>183</v>
      </c>
      <c r="D3" s="105" t="s">
        <v>184</v>
      </c>
      <c r="E3" s="57" t="s">
        <v>165</v>
      </c>
      <c r="F3" s="58" t="s">
        <v>169</v>
      </c>
      <c r="G3" s="105" t="s">
        <v>87</v>
      </c>
      <c r="H3" s="66" t="s">
        <v>73</v>
      </c>
      <c r="I3" s="70" t="s">
        <v>39</v>
      </c>
    </row>
    <row r="4" spans="1:9" ht="43.5" x14ac:dyDescent="0.35">
      <c r="A4" s="59">
        <v>2024</v>
      </c>
      <c r="B4" s="105" t="s">
        <v>180</v>
      </c>
      <c r="C4" s="105" t="s">
        <v>185</v>
      </c>
      <c r="D4" s="105" t="s">
        <v>186</v>
      </c>
      <c r="E4" s="57" t="s">
        <v>162</v>
      </c>
      <c r="F4" s="58" t="s">
        <v>74</v>
      </c>
      <c r="G4" s="105" t="s">
        <v>89</v>
      </c>
      <c r="H4" s="66" t="s">
        <v>73</v>
      </c>
      <c r="I4" s="70" t="s">
        <v>39</v>
      </c>
    </row>
    <row r="5" spans="1:9" ht="29" x14ac:dyDescent="0.35">
      <c r="A5" s="59">
        <v>2024</v>
      </c>
      <c r="B5" s="105" t="s">
        <v>187</v>
      </c>
      <c r="C5" s="105" t="s">
        <v>188</v>
      </c>
      <c r="D5" s="105" t="s">
        <v>189</v>
      </c>
      <c r="E5" s="57" t="s">
        <v>166</v>
      </c>
      <c r="F5" s="58" t="s">
        <v>74</v>
      </c>
      <c r="G5" s="105" t="s">
        <v>87</v>
      </c>
      <c r="H5" s="66" t="s">
        <v>75</v>
      </c>
      <c r="I5" s="70" t="s">
        <v>39</v>
      </c>
    </row>
    <row r="6" spans="1:9" ht="29" x14ac:dyDescent="0.35">
      <c r="A6" s="59">
        <v>2024</v>
      </c>
      <c r="B6" s="105" t="s">
        <v>187</v>
      </c>
      <c r="C6" s="105" t="s">
        <v>190</v>
      </c>
      <c r="D6" s="105" t="s">
        <v>191</v>
      </c>
      <c r="E6" s="57" t="s">
        <v>166</v>
      </c>
      <c r="F6" s="58" t="s">
        <v>74</v>
      </c>
      <c r="G6" s="105" t="s">
        <v>87</v>
      </c>
      <c r="H6" s="66" t="s">
        <v>75</v>
      </c>
      <c r="I6" s="70" t="s">
        <v>39</v>
      </c>
    </row>
    <row r="7" spans="1:9" ht="29" x14ac:dyDescent="0.35">
      <c r="A7" s="59">
        <v>2024</v>
      </c>
      <c r="B7" s="105" t="s">
        <v>187</v>
      </c>
      <c r="C7" s="105" t="s">
        <v>192</v>
      </c>
      <c r="D7" s="105" t="s">
        <v>193</v>
      </c>
      <c r="E7" s="57" t="s">
        <v>166</v>
      </c>
      <c r="F7" s="58" t="s">
        <v>74</v>
      </c>
      <c r="G7" s="105" t="s">
        <v>89</v>
      </c>
      <c r="H7" s="66" t="s">
        <v>75</v>
      </c>
      <c r="I7" s="70" t="s">
        <v>39</v>
      </c>
    </row>
    <row r="8" spans="1:9" customFormat="1" ht="29" x14ac:dyDescent="0.35">
      <c r="A8" s="27">
        <v>2019</v>
      </c>
      <c r="B8" s="105" t="s">
        <v>194</v>
      </c>
      <c r="C8" s="105" t="s">
        <v>195</v>
      </c>
      <c r="D8" s="105" t="s">
        <v>196</v>
      </c>
      <c r="E8" s="53" t="s">
        <v>106</v>
      </c>
      <c r="F8" s="56" t="s">
        <v>74</v>
      </c>
      <c r="G8" s="105" t="s">
        <v>87</v>
      </c>
      <c r="H8" s="56" t="s">
        <v>75</v>
      </c>
      <c r="I8" s="68" t="s">
        <v>39</v>
      </c>
    </row>
    <row r="9" spans="1:9" customFormat="1" ht="29" x14ac:dyDescent="0.35">
      <c r="A9" s="27">
        <v>2019</v>
      </c>
      <c r="B9" s="105" t="s">
        <v>194</v>
      </c>
      <c r="C9" s="105" t="s">
        <v>197</v>
      </c>
      <c r="D9" s="105" t="s">
        <v>198</v>
      </c>
      <c r="E9" s="25" t="s">
        <v>106</v>
      </c>
      <c r="F9" s="26" t="s">
        <v>74</v>
      </c>
      <c r="G9" s="105" t="s">
        <v>89</v>
      </c>
      <c r="H9" s="26" t="s">
        <v>75</v>
      </c>
      <c r="I9" s="26" t="s">
        <v>39</v>
      </c>
    </row>
    <row r="10" spans="1:9" ht="29" x14ac:dyDescent="0.35">
      <c r="A10" s="59">
        <v>2019</v>
      </c>
      <c r="B10" s="105" t="s">
        <v>194</v>
      </c>
      <c r="C10" s="105" t="s">
        <v>199</v>
      </c>
      <c r="D10" s="105" t="s">
        <v>200</v>
      </c>
      <c r="E10" s="60" t="s">
        <v>323</v>
      </c>
      <c r="F10" s="61" t="s">
        <v>74</v>
      </c>
      <c r="G10" s="105" t="s">
        <v>88</v>
      </c>
      <c r="H10" s="61" t="s">
        <v>75</v>
      </c>
      <c r="I10" s="61" t="s">
        <v>39</v>
      </c>
    </row>
    <row r="11" spans="1:9" ht="29" x14ac:dyDescent="0.35">
      <c r="A11" s="59">
        <v>2021</v>
      </c>
      <c r="B11" s="105" t="s">
        <v>78</v>
      </c>
      <c r="C11" s="105" t="s">
        <v>201</v>
      </c>
      <c r="D11" s="105" t="s">
        <v>202</v>
      </c>
      <c r="E11" s="60" t="s">
        <v>80</v>
      </c>
      <c r="F11" s="61" t="s">
        <v>74</v>
      </c>
      <c r="G11" s="105" t="s">
        <v>89</v>
      </c>
      <c r="H11" s="67" t="s">
        <v>75</v>
      </c>
      <c r="I11" s="63" t="s">
        <v>39</v>
      </c>
    </row>
    <row r="12" spans="1:9" customFormat="1" ht="29" x14ac:dyDescent="0.35">
      <c r="A12" s="27">
        <v>2021</v>
      </c>
      <c r="B12" s="105" t="s">
        <v>78</v>
      </c>
      <c r="C12" s="105" t="s">
        <v>203</v>
      </c>
      <c r="D12" s="105" t="s">
        <v>204</v>
      </c>
      <c r="E12" s="25" t="s">
        <v>80</v>
      </c>
      <c r="F12" s="26" t="s">
        <v>74</v>
      </c>
      <c r="G12" s="105" t="s">
        <v>89</v>
      </c>
      <c r="H12" s="27" t="s">
        <v>75</v>
      </c>
      <c r="I12" s="69" t="s">
        <v>39</v>
      </c>
    </row>
    <row r="13" spans="1:9" ht="29" x14ac:dyDescent="0.35">
      <c r="A13" s="59">
        <v>2021</v>
      </c>
      <c r="B13" s="105" t="s">
        <v>78</v>
      </c>
      <c r="C13" s="105" t="s">
        <v>205</v>
      </c>
      <c r="D13" s="105" t="s">
        <v>206</v>
      </c>
      <c r="E13" s="57" t="s">
        <v>79</v>
      </c>
      <c r="F13" s="62" t="s">
        <v>74</v>
      </c>
      <c r="G13" s="105" t="s">
        <v>88</v>
      </c>
      <c r="H13" s="59" t="s">
        <v>75</v>
      </c>
      <c r="I13" s="59" t="s">
        <v>39</v>
      </c>
    </row>
    <row r="14" spans="1:9" customFormat="1" ht="29" x14ac:dyDescent="0.35">
      <c r="A14" s="27">
        <v>2021</v>
      </c>
      <c r="B14" s="105" t="s">
        <v>207</v>
      </c>
      <c r="C14" s="105" t="s">
        <v>208</v>
      </c>
      <c r="D14" s="105" t="s">
        <v>209</v>
      </c>
      <c r="E14" s="53" t="s">
        <v>79</v>
      </c>
      <c r="F14" s="54" t="s">
        <v>74</v>
      </c>
      <c r="G14" s="105" t="s">
        <v>87</v>
      </c>
      <c r="H14" s="55" t="s">
        <v>75</v>
      </c>
      <c r="I14" s="55" t="s">
        <v>39</v>
      </c>
    </row>
    <row r="15" spans="1:9" customFormat="1" ht="29" x14ac:dyDescent="0.35">
      <c r="A15" s="27">
        <v>2021</v>
      </c>
      <c r="B15" s="105" t="s">
        <v>207</v>
      </c>
      <c r="C15" s="105" t="s">
        <v>210</v>
      </c>
      <c r="D15" s="105" t="s">
        <v>211</v>
      </c>
      <c r="E15" s="25" t="s">
        <v>107</v>
      </c>
      <c r="F15" s="28" t="s">
        <v>74</v>
      </c>
      <c r="G15" s="105" t="s">
        <v>87</v>
      </c>
      <c r="H15" s="27" t="s">
        <v>75</v>
      </c>
      <c r="I15" s="27" t="s">
        <v>39</v>
      </c>
    </row>
    <row r="16" spans="1:9" customFormat="1" ht="29" x14ac:dyDescent="0.35">
      <c r="A16" s="27">
        <v>2021</v>
      </c>
      <c r="B16" s="105" t="s">
        <v>207</v>
      </c>
      <c r="C16" s="105" t="s">
        <v>212</v>
      </c>
      <c r="D16" s="105" t="s">
        <v>213</v>
      </c>
      <c r="E16" s="25" t="s">
        <v>80</v>
      </c>
      <c r="F16" s="28" t="s">
        <v>74</v>
      </c>
      <c r="G16" s="105" t="s">
        <v>89</v>
      </c>
      <c r="H16" s="27" t="s">
        <v>75</v>
      </c>
      <c r="I16" s="27" t="s">
        <v>39</v>
      </c>
    </row>
    <row r="17" spans="1:9" customFormat="1" ht="29" x14ac:dyDescent="0.35">
      <c r="A17" s="27">
        <v>2021</v>
      </c>
      <c r="B17" s="105" t="s">
        <v>207</v>
      </c>
      <c r="C17" s="105" t="s">
        <v>214</v>
      </c>
      <c r="D17" s="105" t="s">
        <v>215</v>
      </c>
      <c r="E17" s="25" t="s">
        <v>80</v>
      </c>
      <c r="F17" s="28" t="s">
        <v>74</v>
      </c>
      <c r="G17" s="105" t="s">
        <v>87</v>
      </c>
      <c r="H17" s="27" t="s">
        <v>75</v>
      </c>
      <c r="I17" s="27" t="s">
        <v>39</v>
      </c>
    </row>
    <row r="18" spans="1:9" ht="72.5" x14ac:dyDescent="0.35">
      <c r="A18" s="29">
        <v>2024</v>
      </c>
      <c r="B18" s="105" t="s">
        <v>216</v>
      </c>
      <c r="C18" s="105" t="s">
        <v>217</v>
      </c>
      <c r="D18" s="105" t="s">
        <v>218</v>
      </c>
      <c r="E18" s="74" t="s">
        <v>162</v>
      </c>
      <c r="F18" s="74" t="s">
        <v>74</v>
      </c>
      <c r="G18" s="105" t="s">
        <v>87</v>
      </c>
      <c r="H18" s="74" t="s">
        <v>73</v>
      </c>
      <c r="I18" s="74" t="s">
        <v>39</v>
      </c>
    </row>
    <row r="19" spans="1:9" ht="72.5" x14ac:dyDescent="0.35">
      <c r="A19" s="74">
        <v>2024</v>
      </c>
      <c r="B19" s="105" t="s">
        <v>216</v>
      </c>
      <c r="C19" s="105" t="s">
        <v>219</v>
      </c>
      <c r="D19" s="105" t="s">
        <v>220</v>
      </c>
      <c r="E19" s="74" t="s">
        <v>162</v>
      </c>
      <c r="F19" s="74" t="s">
        <v>74</v>
      </c>
      <c r="G19" s="105" t="s">
        <v>87</v>
      </c>
      <c r="H19" s="74" t="s">
        <v>73</v>
      </c>
      <c r="I19" s="74" t="s">
        <v>39</v>
      </c>
    </row>
    <row r="20" spans="1:9" ht="72.5" x14ac:dyDescent="0.35">
      <c r="A20" s="74">
        <v>2024</v>
      </c>
      <c r="B20" s="105" t="s">
        <v>216</v>
      </c>
      <c r="C20" s="105" t="s">
        <v>221</v>
      </c>
      <c r="D20" s="105" t="s">
        <v>222</v>
      </c>
      <c r="E20" s="74" t="s">
        <v>165</v>
      </c>
      <c r="F20" s="74" t="s">
        <v>74</v>
      </c>
      <c r="G20" s="105" t="s">
        <v>89</v>
      </c>
      <c r="H20" s="74" t="s">
        <v>73</v>
      </c>
      <c r="I20" s="74" t="s">
        <v>39</v>
      </c>
    </row>
    <row r="21" spans="1:9" ht="72.5" x14ac:dyDescent="0.35">
      <c r="A21" s="29">
        <v>2024</v>
      </c>
      <c r="B21" s="105" t="s">
        <v>216</v>
      </c>
      <c r="C21" s="105" t="s">
        <v>223</v>
      </c>
      <c r="D21" s="105" t="s">
        <v>224</v>
      </c>
      <c r="E21" s="29" t="s">
        <v>165</v>
      </c>
      <c r="F21" s="29" t="s">
        <v>81</v>
      </c>
      <c r="G21" s="105" t="s">
        <v>87</v>
      </c>
      <c r="H21" s="29" t="s">
        <v>73</v>
      </c>
      <c r="I21" s="29" t="s">
        <v>39</v>
      </c>
    </row>
  </sheetData>
  <autoFilter ref="A1:I21"/>
  <pageMargins left="0.7" right="0.7" top="0.75" bottom="0.75" header="0.3" footer="0.3"/>
  <pageSetup scale="5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pane ySplit="1" topLeftCell="A2" activePane="bottomLeft" state="frozen"/>
      <selection pane="bottomLeft" activeCell="C2" sqref="C2"/>
    </sheetView>
  </sheetViews>
  <sheetFormatPr defaultRowHeight="14.5" x14ac:dyDescent="0.35"/>
  <cols>
    <col min="1" max="1" width="5.453125" customWidth="1"/>
    <col min="2" max="2" width="7.6328125" customWidth="1"/>
    <col min="3" max="3" width="14.26953125" customWidth="1"/>
    <col min="4" max="4" width="34.36328125" customWidth="1"/>
    <col min="5" max="5" width="33.81640625" customWidth="1"/>
    <col min="7" max="7" width="14.6328125" customWidth="1"/>
    <col min="8" max="8" width="26.90625" customWidth="1"/>
    <col min="9" max="9" width="16.7265625" customWidth="1"/>
  </cols>
  <sheetData>
    <row r="1" spans="1:9" ht="29" x14ac:dyDescent="0.35">
      <c r="A1" s="30" t="s">
        <v>108</v>
      </c>
      <c r="B1" s="31" t="s">
        <v>102</v>
      </c>
      <c r="C1" s="31" t="s">
        <v>109</v>
      </c>
      <c r="D1" s="32" t="s">
        <v>86</v>
      </c>
      <c r="E1" s="32" t="s">
        <v>82</v>
      </c>
      <c r="F1" s="32" t="s">
        <v>110</v>
      </c>
      <c r="G1" s="32" t="s">
        <v>131</v>
      </c>
      <c r="H1" s="32" t="s">
        <v>112</v>
      </c>
      <c r="I1" s="32" t="s">
        <v>60</v>
      </c>
    </row>
    <row r="2" spans="1:9" ht="58" x14ac:dyDescent="0.35">
      <c r="A2" s="33">
        <v>2.5</v>
      </c>
      <c r="B2" s="35">
        <v>2019</v>
      </c>
      <c r="C2" s="101" t="s">
        <v>118</v>
      </c>
      <c r="D2" s="101" t="s">
        <v>225</v>
      </c>
      <c r="E2" s="101" t="s">
        <v>226</v>
      </c>
      <c r="F2" s="101" t="s">
        <v>87</v>
      </c>
      <c r="G2" s="33" t="s">
        <v>39</v>
      </c>
      <c r="H2" s="101" t="s">
        <v>247</v>
      </c>
      <c r="I2" s="38" t="s">
        <v>74</v>
      </c>
    </row>
    <row r="3" spans="1:9" ht="58" x14ac:dyDescent="0.35">
      <c r="A3" s="33">
        <v>2.5</v>
      </c>
      <c r="B3" s="35">
        <v>2020</v>
      </c>
      <c r="C3" s="101" t="s">
        <v>119</v>
      </c>
      <c r="D3" s="101" t="s">
        <v>227</v>
      </c>
      <c r="E3" s="101" t="s">
        <v>228</v>
      </c>
      <c r="F3" s="101" t="s">
        <v>87</v>
      </c>
      <c r="G3" s="33" t="s">
        <v>39</v>
      </c>
      <c r="H3" s="101" t="s">
        <v>248</v>
      </c>
      <c r="I3" s="38" t="s">
        <v>74</v>
      </c>
    </row>
    <row r="4" spans="1:9" ht="58" x14ac:dyDescent="0.35">
      <c r="A4" s="33">
        <v>3.4</v>
      </c>
      <c r="B4" s="33">
        <v>2021</v>
      </c>
      <c r="C4" s="101" t="s">
        <v>120</v>
      </c>
      <c r="D4" s="101" t="s">
        <v>229</v>
      </c>
      <c r="E4" s="101" t="s">
        <v>230</v>
      </c>
      <c r="F4" s="101" t="s">
        <v>89</v>
      </c>
      <c r="G4" s="33" t="s">
        <v>39</v>
      </c>
      <c r="H4" s="101" t="s">
        <v>249</v>
      </c>
      <c r="I4" s="39" t="s">
        <v>74</v>
      </c>
    </row>
    <row r="5" spans="1:9" ht="58" x14ac:dyDescent="0.35">
      <c r="A5" s="33">
        <v>3.5</v>
      </c>
      <c r="B5" s="33">
        <v>2021</v>
      </c>
      <c r="C5" s="101" t="s">
        <v>113</v>
      </c>
      <c r="D5" s="101" t="s">
        <v>231</v>
      </c>
      <c r="E5" s="101" t="s">
        <v>232</v>
      </c>
      <c r="F5" s="101" t="s">
        <v>87</v>
      </c>
      <c r="G5" s="35" t="s">
        <v>39</v>
      </c>
      <c r="H5" s="101" t="s">
        <v>250</v>
      </c>
      <c r="I5" s="39" t="s">
        <v>74</v>
      </c>
    </row>
    <row r="6" spans="1:9" ht="58" x14ac:dyDescent="0.35">
      <c r="A6" s="33">
        <v>3.7</v>
      </c>
      <c r="B6" s="33">
        <v>2021</v>
      </c>
      <c r="C6" s="101" t="s">
        <v>115</v>
      </c>
      <c r="D6" s="101" t="s">
        <v>233</v>
      </c>
      <c r="E6" s="101" t="s">
        <v>234</v>
      </c>
      <c r="F6" s="101" t="s">
        <v>87</v>
      </c>
      <c r="G6" s="33" t="s">
        <v>39</v>
      </c>
      <c r="H6" s="101" t="s">
        <v>251</v>
      </c>
      <c r="I6" s="39" t="s">
        <v>74</v>
      </c>
    </row>
    <row r="7" spans="1:9" ht="58" x14ac:dyDescent="0.35">
      <c r="A7" s="33">
        <v>3.8</v>
      </c>
      <c r="B7" s="33">
        <v>2021</v>
      </c>
      <c r="C7" s="101" t="s">
        <v>116</v>
      </c>
      <c r="D7" s="101" t="s">
        <v>235</v>
      </c>
      <c r="E7" s="101" t="s">
        <v>236</v>
      </c>
      <c r="F7" s="101" t="s">
        <v>87</v>
      </c>
      <c r="G7" s="33" t="s">
        <v>39</v>
      </c>
      <c r="H7" s="101" t="s">
        <v>252</v>
      </c>
      <c r="I7" s="38" t="s">
        <v>74</v>
      </c>
    </row>
    <row r="8" spans="1:9" ht="72.5" x14ac:dyDescent="0.35">
      <c r="A8" s="33">
        <v>3.9</v>
      </c>
      <c r="B8" s="33">
        <v>2021</v>
      </c>
      <c r="C8" s="101" t="s">
        <v>121</v>
      </c>
      <c r="D8" s="101" t="s">
        <v>237</v>
      </c>
      <c r="E8" s="101" t="s">
        <v>238</v>
      </c>
      <c r="F8" s="101" t="s">
        <v>89</v>
      </c>
      <c r="G8" s="33" t="s">
        <v>39</v>
      </c>
      <c r="H8" s="101" t="s">
        <v>253</v>
      </c>
      <c r="I8" s="38" t="s">
        <v>74</v>
      </c>
    </row>
    <row r="9" spans="1:9" ht="58" x14ac:dyDescent="0.35">
      <c r="A9" s="36">
        <v>3.1</v>
      </c>
      <c r="B9" s="33">
        <v>2021</v>
      </c>
      <c r="C9" s="101" t="s">
        <v>117</v>
      </c>
      <c r="D9" s="101" t="s">
        <v>239</v>
      </c>
      <c r="E9" s="101" t="s">
        <v>240</v>
      </c>
      <c r="F9" s="101" t="s">
        <v>87</v>
      </c>
      <c r="G9" s="24" t="s">
        <v>39</v>
      </c>
      <c r="H9" s="101" t="s">
        <v>254</v>
      </c>
      <c r="I9" s="38" t="s">
        <v>149</v>
      </c>
    </row>
    <row r="10" spans="1:9" ht="43.5" x14ac:dyDescent="0.35">
      <c r="A10" s="36">
        <v>3.11</v>
      </c>
      <c r="B10" s="33">
        <v>2021</v>
      </c>
      <c r="C10" s="101" t="s">
        <v>122</v>
      </c>
      <c r="D10" s="101" t="s">
        <v>241</v>
      </c>
      <c r="E10" s="101" t="s">
        <v>242</v>
      </c>
      <c r="F10" s="101" t="s">
        <v>87</v>
      </c>
      <c r="G10" s="33" t="s">
        <v>39</v>
      </c>
      <c r="H10" s="101" t="s">
        <v>255</v>
      </c>
      <c r="I10" s="38" t="s">
        <v>74</v>
      </c>
    </row>
    <row r="11" spans="1:9" ht="72.5" x14ac:dyDescent="0.35">
      <c r="A11" s="36">
        <v>3.12</v>
      </c>
      <c r="B11" s="33">
        <v>2021</v>
      </c>
      <c r="C11" s="101" t="s">
        <v>123</v>
      </c>
      <c r="D11" s="101" t="s">
        <v>243</v>
      </c>
      <c r="E11" s="101" t="s">
        <v>244</v>
      </c>
      <c r="F11" s="101" t="s">
        <v>87</v>
      </c>
      <c r="G11" s="33" t="s">
        <v>39</v>
      </c>
      <c r="H11" s="101" t="s">
        <v>256</v>
      </c>
      <c r="I11" s="38" t="s">
        <v>74</v>
      </c>
    </row>
    <row r="12" spans="1:9" ht="72.5" x14ac:dyDescent="0.35">
      <c r="A12" s="36">
        <v>4</v>
      </c>
      <c r="B12" s="33">
        <v>2023</v>
      </c>
      <c r="C12" s="101" t="s">
        <v>160</v>
      </c>
      <c r="D12" s="101" t="s">
        <v>245</v>
      </c>
      <c r="E12" s="101" t="s">
        <v>246</v>
      </c>
      <c r="F12" s="101" t="s">
        <v>87</v>
      </c>
      <c r="G12" s="24" t="s">
        <v>39</v>
      </c>
      <c r="H12" s="101" t="s">
        <v>257</v>
      </c>
      <c r="I12" s="38" t="s">
        <v>74</v>
      </c>
    </row>
  </sheetData>
  <autoFilter ref="A1:I1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topLeftCell="D1" zoomScaleNormal="100" workbookViewId="0">
      <pane ySplit="1" topLeftCell="A2" activePane="bottomLeft" state="frozen"/>
      <selection pane="bottomLeft" activeCell="J2" sqref="J2"/>
    </sheetView>
  </sheetViews>
  <sheetFormatPr defaultColWidth="9.1796875" defaultRowHeight="13" x14ac:dyDescent="0.35"/>
  <cols>
    <col min="1" max="1" width="7.81640625" style="37" customWidth="1"/>
    <col min="2" max="2" width="6.6328125" style="20" customWidth="1"/>
    <col min="3" max="3" width="16.54296875" style="20" customWidth="1"/>
    <col min="4" max="4" width="36" style="20" customWidth="1"/>
    <col min="5" max="5" width="34.90625" style="20" customWidth="1"/>
    <col min="6" max="6" width="8.7265625" style="65" customWidth="1"/>
    <col min="7" max="7" width="9.1796875" style="20" customWidth="1"/>
    <col min="8" max="8" width="34.7265625" style="20" customWidth="1"/>
    <col min="9" max="9" width="14" style="45" customWidth="1"/>
    <col min="10" max="10" width="22.1796875" style="20" bestFit="1" customWidth="1"/>
    <col min="11" max="16384" width="9.1796875" style="20"/>
  </cols>
  <sheetData>
    <row r="1" spans="1:10" ht="29" x14ac:dyDescent="0.35">
      <c r="A1" s="40" t="s">
        <v>108</v>
      </c>
      <c r="B1" s="41" t="s">
        <v>102</v>
      </c>
      <c r="C1" s="41" t="s">
        <v>109</v>
      </c>
      <c r="D1" s="42" t="s">
        <v>86</v>
      </c>
      <c r="E1" s="42" t="s">
        <v>82</v>
      </c>
      <c r="F1" s="64" t="s">
        <v>110</v>
      </c>
      <c r="G1" s="42" t="s">
        <v>111</v>
      </c>
      <c r="H1" s="42" t="s">
        <v>112</v>
      </c>
      <c r="I1" s="43" t="s">
        <v>60</v>
      </c>
      <c r="J1" s="42" t="s">
        <v>77</v>
      </c>
    </row>
    <row r="2" spans="1:10" ht="119.5" customHeight="1" x14ac:dyDescent="0.35">
      <c r="A2" s="49" t="s">
        <v>124</v>
      </c>
      <c r="B2" s="50">
        <v>2021</v>
      </c>
      <c r="C2" s="101" t="s">
        <v>132</v>
      </c>
      <c r="D2" s="101" t="s">
        <v>258</v>
      </c>
      <c r="E2" s="101" t="s">
        <v>259</v>
      </c>
      <c r="F2" s="101" t="s">
        <v>89</v>
      </c>
      <c r="G2" s="47" t="s">
        <v>39</v>
      </c>
      <c r="H2" s="101" t="s">
        <v>281</v>
      </c>
      <c r="I2" s="46" t="s">
        <v>74</v>
      </c>
      <c r="J2" s="50" t="s">
        <v>138</v>
      </c>
    </row>
    <row r="3" spans="1:10" ht="58" x14ac:dyDescent="0.35">
      <c r="A3" s="51">
        <v>10.8</v>
      </c>
      <c r="B3" s="51">
        <v>2021</v>
      </c>
      <c r="C3" s="101" t="s">
        <v>260</v>
      </c>
      <c r="D3" s="101" t="s">
        <v>261</v>
      </c>
      <c r="E3" s="101" t="s">
        <v>262</v>
      </c>
      <c r="F3" s="101" t="s">
        <v>89</v>
      </c>
      <c r="G3" s="51" t="s">
        <v>39</v>
      </c>
      <c r="H3" s="101" t="s">
        <v>282</v>
      </c>
      <c r="I3" s="51" t="s">
        <v>74</v>
      </c>
      <c r="J3" s="51">
        <v>2022</v>
      </c>
    </row>
    <row r="4" spans="1:10" ht="171.5" customHeight="1" x14ac:dyDescent="0.35">
      <c r="A4" s="48" t="s">
        <v>125</v>
      </c>
      <c r="B4" s="35">
        <v>2021</v>
      </c>
      <c r="C4" s="101" t="s">
        <v>133</v>
      </c>
      <c r="D4" s="101" t="s">
        <v>263</v>
      </c>
      <c r="E4" s="101" t="s">
        <v>264</v>
      </c>
      <c r="F4" s="101" t="s">
        <v>87</v>
      </c>
      <c r="G4" s="23" t="s">
        <v>39</v>
      </c>
      <c r="H4" s="101" t="s">
        <v>283</v>
      </c>
      <c r="I4" s="44" t="s">
        <v>153</v>
      </c>
      <c r="J4" s="23"/>
    </row>
    <row r="5" spans="1:10" ht="146.5" customHeight="1" x14ac:dyDescent="0.35">
      <c r="A5" s="48">
        <v>10.1</v>
      </c>
      <c r="B5" s="35">
        <v>2021</v>
      </c>
      <c r="C5" s="101" t="s">
        <v>265</v>
      </c>
      <c r="D5" s="101" t="s">
        <v>266</v>
      </c>
      <c r="E5" s="101" t="s">
        <v>267</v>
      </c>
      <c r="F5" s="101" t="s">
        <v>87</v>
      </c>
      <c r="G5" s="35" t="s">
        <v>39</v>
      </c>
      <c r="H5" s="101" t="s">
        <v>284</v>
      </c>
      <c r="I5" s="44" t="s">
        <v>74</v>
      </c>
      <c r="J5" s="35" t="s">
        <v>114</v>
      </c>
    </row>
    <row r="6" spans="1:10" ht="172.5" customHeight="1" x14ac:dyDescent="0.35">
      <c r="A6" s="48" t="s">
        <v>126</v>
      </c>
      <c r="B6" s="35">
        <v>2021</v>
      </c>
      <c r="C6" s="101" t="s">
        <v>134</v>
      </c>
      <c r="D6" s="101" t="s">
        <v>268</v>
      </c>
      <c r="E6" s="101" t="s">
        <v>269</v>
      </c>
      <c r="F6" s="101" t="s">
        <v>87</v>
      </c>
      <c r="G6" s="23" t="s">
        <v>39</v>
      </c>
      <c r="H6" s="101" t="s">
        <v>285</v>
      </c>
      <c r="I6" s="44" t="s">
        <v>74</v>
      </c>
      <c r="J6" s="19" t="s">
        <v>138</v>
      </c>
    </row>
    <row r="7" spans="1:10" ht="58" x14ac:dyDescent="0.35">
      <c r="A7" s="48" t="s">
        <v>127</v>
      </c>
      <c r="B7" s="35">
        <v>2021</v>
      </c>
      <c r="C7" s="101" t="s">
        <v>116</v>
      </c>
      <c r="D7" s="101" t="s">
        <v>270</v>
      </c>
      <c r="E7" s="101" t="s">
        <v>271</v>
      </c>
      <c r="F7" s="101" t="s">
        <v>87</v>
      </c>
      <c r="G7" s="23" t="s">
        <v>39</v>
      </c>
      <c r="H7" s="101" t="s">
        <v>286</v>
      </c>
      <c r="I7" s="44" t="s">
        <v>74</v>
      </c>
      <c r="J7" s="19"/>
    </row>
    <row r="8" spans="1:10" ht="72.5" x14ac:dyDescent="0.35">
      <c r="A8" s="48" t="s">
        <v>128</v>
      </c>
      <c r="B8" s="35">
        <v>2021</v>
      </c>
      <c r="C8" s="101" t="s">
        <v>135</v>
      </c>
      <c r="D8" s="101" t="s">
        <v>272</v>
      </c>
      <c r="E8" s="101" t="s">
        <v>273</v>
      </c>
      <c r="F8" s="101" t="s">
        <v>89</v>
      </c>
      <c r="G8" s="23" t="s">
        <v>39</v>
      </c>
      <c r="H8" s="101" t="s">
        <v>287</v>
      </c>
      <c r="I8" s="44" t="s">
        <v>74</v>
      </c>
      <c r="J8" s="19"/>
    </row>
    <row r="9" spans="1:10" ht="58" x14ac:dyDescent="0.35">
      <c r="A9" s="48" t="s">
        <v>129</v>
      </c>
      <c r="B9" s="23">
        <v>2021</v>
      </c>
      <c r="C9" s="101" t="s">
        <v>136</v>
      </c>
      <c r="D9" s="101" t="s">
        <v>274</v>
      </c>
      <c r="E9" s="101" t="s">
        <v>275</v>
      </c>
      <c r="F9" s="101" t="s">
        <v>87</v>
      </c>
      <c r="G9" s="23" t="s">
        <v>39</v>
      </c>
      <c r="H9" s="101" t="s">
        <v>288</v>
      </c>
      <c r="I9" s="44" t="s">
        <v>74</v>
      </c>
      <c r="J9" s="19"/>
    </row>
    <row r="10" spans="1:10" ht="72.5" x14ac:dyDescent="0.35">
      <c r="A10" s="48" t="s">
        <v>130</v>
      </c>
      <c r="B10" s="35">
        <v>2021</v>
      </c>
      <c r="C10" s="101" t="s">
        <v>137</v>
      </c>
      <c r="D10" s="101" t="s">
        <v>276</v>
      </c>
      <c r="E10" s="101" t="s">
        <v>277</v>
      </c>
      <c r="F10" s="101" t="s">
        <v>87</v>
      </c>
      <c r="G10" s="23" t="s">
        <v>39</v>
      </c>
      <c r="H10" s="101" t="s">
        <v>289</v>
      </c>
      <c r="I10" s="44" t="s">
        <v>74</v>
      </c>
      <c r="J10" s="19"/>
    </row>
    <row r="11" spans="1:10" ht="87" x14ac:dyDescent="0.35">
      <c r="A11" s="37" t="s">
        <v>158</v>
      </c>
      <c r="B11" s="20">
        <v>2023</v>
      </c>
      <c r="C11" s="101" t="s">
        <v>278</v>
      </c>
      <c r="D11" s="101" t="s">
        <v>279</v>
      </c>
      <c r="E11" s="101" t="s">
        <v>280</v>
      </c>
      <c r="F11" s="101" t="s">
        <v>87</v>
      </c>
      <c r="G11" s="23" t="s">
        <v>39</v>
      </c>
      <c r="H11" s="101" t="s">
        <v>290</v>
      </c>
      <c r="I11" s="76" t="s">
        <v>74</v>
      </c>
      <c r="J11" s="77">
        <v>45413</v>
      </c>
    </row>
  </sheetData>
  <autoFilter ref="A1:J11">
    <sortState ref="A2:J11">
      <sortCondition sortBy="fontColor" ref="D1:D11" dxfId="0"/>
    </sortState>
  </autoFilter>
  <phoneticPr fontId="10" type="noConversion"/>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tabSelected="1" view="pageBreakPreview" zoomScaleNormal="80" zoomScaleSheetLayoutView="100" workbookViewId="0">
      <pane ySplit="1" topLeftCell="A2" activePane="bottomLeft" state="frozen"/>
      <selection pane="bottomLeft" activeCell="H2" sqref="H2"/>
    </sheetView>
  </sheetViews>
  <sheetFormatPr defaultColWidth="27.1796875" defaultRowHeight="14.5" x14ac:dyDescent="0.35"/>
  <cols>
    <col min="1" max="1" width="5.26953125" style="22" customWidth="1"/>
    <col min="2" max="2" width="11.6328125" style="22" customWidth="1"/>
    <col min="3" max="3" width="7.08984375" style="22" customWidth="1"/>
    <col min="4" max="4" width="67.81640625" style="52" customWidth="1"/>
    <col min="5" max="5" width="9.54296875" style="22" customWidth="1"/>
    <col min="6" max="6" width="7.6328125" style="22" customWidth="1"/>
    <col min="7" max="7" width="11.1796875" style="22" customWidth="1"/>
    <col min="8" max="8" width="51.26953125" style="22" customWidth="1"/>
    <col min="9" max="9" width="11.36328125" style="22" customWidth="1"/>
    <col min="10" max="10" width="14" style="22" customWidth="1"/>
    <col min="11" max="11" width="9.81640625" style="88" customWidth="1"/>
    <col min="12" max="12" width="18.81640625" style="22" customWidth="1"/>
    <col min="13" max="16384" width="27.1796875" style="22"/>
  </cols>
  <sheetData>
    <row r="1" spans="1:12" s="91" customFormat="1" ht="39" x14ac:dyDescent="0.35">
      <c r="A1" s="89" t="s">
        <v>90</v>
      </c>
      <c r="B1" s="89" t="s">
        <v>91</v>
      </c>
      <c r="C1" s="89" t="s">
        <v>92</v>
      </c>
      <c r="D1" s="89" t="s">
        <v>93</v>
      </c>
      <c r="E1" s="89" t="s">
        <v>94</v>
      </c>
      <c r="F1" s="89" t="s">
        <v>95</v>
      </c>
      <c r="G1" s="89" t="s">
        <v>96</v>
      </c>
      <c r="H1" s="89" t="s">
        <v>97</v>
      </c>
      <c r="I1" s="90" t="s">
        <v>72</v>
      </c>
      <c r="J1" s="90" t="s">
        <v>98</v>
      </c>
      <c r="K1" s="88" t="s">
        <v>99</v>
      </c>
      <c r="L1" s="89" t="s">
        <v>100</v>
      </c>
    </row>
    <row r="2" spans="1:12" ht="130.5" x14ac:dyDescent="0.35">
      <c r="A2" s="73"/>
      <c r="B2" s="34" t="s">
        <v>170</v>
      </c>
      <c r="C2" s="84" t="s">
        <v>174</v>
      </c>
      <c r="D2" s="104" t="s">
        <v>306</v>
      </c>
      <c r="E2" s="85" t="s">
        <v>171</v>
      </c>
      <c r="F2" s="73"/>
      <c r="G2" s="73"/>
      <c r="H2" s="101" t="s">
        <v>291</v>
      </c>
      <c r="I2" s="88">
        <v>45900</v>
      </c>
      <c r="J2" s="73"/>
      <c r="K2" s="88" t="s">
        <v>81</v>
      </c>
      <c r="L2" s="73"/>
    </row>
    <row r="3" spans="1:12" ht="87" x14ac:dyDescent="0.35">
      <c r="A3" s="73"/>
      <c r="B3" s="34" t="s">
        <v>170</v>
      </c>
      <c r="C3" s="84">
        <v>2.2000000000000002</v>
      </c>
      <c r="D3" s="104" t="s">
        <v>307</v>
      </c>
      <c r="E3" s="86" t="s">
        <v>172</v>
      </c>
      <c r="F3" s="73"/>
      <c r="G3" s="73"/>
      <c r="H3" s="101" t="s">
        <v>292</v>
      </c>
      <c r="I3" s="88">
        <v>45900</v>
      </c>
      <c r="J3" s="73"/>
      <c r="K3" s="88" t="s">
        <v>81</v>
      </c>
      <c r="L3" s="73"/>
    </row>
    <row r="4" spans="1:12" ht="87" x14ac:dyDescent="0.35">
      <c r="A4" s="73"/>
      <c r="B4" s="34" t="s">
        <v>170</v>
      </c>
      <c r="C4" s="98">
        <v>2.6</v>
      </c>
      <c r="D4" s="104" t="s">
        <v>308</v>
      </c>
      <c r="E4" s="85" t="s">
        <v>171</v>
      </c>
      <c r="F4" s="73"/>
      <c r="G4" s="73"/>
      <c r="H4" s="101" t="s">
        <v>293</v>
      </c>
      <c r="I4" s="88">
        <v>45900</v>
      </c>
      <c r="J4" s="73"/>
      <c r="K4" s="88" t="s">
        <v>81</v>
      </c>
      <c r="L4" s="73"/>
    </row>
    <row r="5" spans="1:12" ht="87" x14ac:dyDescent="0.35">
      <c r="A5" s="73"/>
      <c r="B5" s="34" t="s">
        <v>170</v>
      </c>
      <c r="C5" s="98">
        <v>1.4</v>
      </c>
      <c r="D5" s="104" t="s">
        <v>309</v>
      </c>
      <c r="E5" s="85" t="s">
        <v>31</v>
      </c>
      <c r="F5" s="73"/>
      <c r="G5" s="73"/>
      <c r="H5" s="101" t="s">
        <v>294</v>
      </c>
      <c r="I5" s="88" t="s">
        <v>176</v>
      </c>
      <c r="J5" s="73"/>
      <c r="K5" s="88" t="s">
        <v>81</v>
      </c>
      <c r="L5" s="73"/>
    </row>
    <row r="6" spans="1:12" ht="87" x14ac:dyDescent="0.35">
      <c r="A6" s="73"/>
      <c r="B6" s="34" t="s">
        <v>170</v>
      </c>
      <c r="C6" s="84">
        <v>1.6</v>
      </c>
      <c r="D6" s="104" t="s">
        <v>310</v>
      </c>
      <c r="E6" s="85" t="s">
        <v>171</v>
      </c>
      <c r="F6" s="73"/>
      <c r="G6" s="73"/>
      <c r="H6" s="101" t="s">
        <v>295</v>
      </c>
      <c r="I6" s="96">
        <v>45930</v>
      </c>
      <c r="J6" s="73"/>
      <c r="K6" s="88" t="s">
        <v>81</v>
      </c>
      <c r="L6" s="73"/>
    </row>
    <row r="7" spans="1:12" ht="101.5" x14ac:dyDescent="0.35">
      <c r="A7" s="84"/>
      <c r="B7" s="34" t="s">
        <v>170</v>
      </c>
      <c r="C7" s="84">
        <v>1.7</v>
      </c>
      <c r="D7" s="104" t="s">
        <v>311</v>
      </c>
      <c r="E7" s="86" t="s">
        <v>31</v>
      </c>
      <c r="F7" s="95"/>
      <c r="G7" s="87" t="s">
        <v>322</v>
      </c>
      <c r="H7" s="101" t="s">
        <v>296</v>
      </c>
      <c r="I7" s="96"/>
      <c r="J7" s="97"/>
      <c r="K7" s="97" t="s">
        <v>81</v>
      </c>
      <c r="L7" s="73"/>
    </row>
    <row r="8" spans="1:12" ht="87" x14ac:dyDescent="0.35">
      <c r="A8" s="73"/>
      <c r="B8" s="34" t="s">
        <v>170</v>
      </c>
      <c r="C8" s="92">
        <v>1.1000000000000001</v>
      </c>
      <c r="D8" s="104" t="s">
        <v>312</v>
      </c>
      <c r="E8" s="86" t="s">
        <v>173</v>
      </c>
      <c r="F8" s="73"/>
      <c r="G8" s="73"/>
      <c r="H8" s="101" t="s">
        <v>297</v>
      </c>
      <c r="I8" s="96">
        <v>45838</v>
      </c>
      <c r="J8" s="73"/>
      <c r="K8" s="100" t="s">
        <v>74</v>
      </c>
      <c r="L8" s="73"/>
    </row>
    <row r="9" spans="1:12" ht="87" x14ac:dyDescent="0.35">
      <c r="A9" s="73"/>
      <c r="B9" s="34" t="s">
        <v>170</v>
      </c>
      <c r="C9" s="93">
        <v>1.1299999999999999</v>
      </c>
      <c r="D9" s="104" t="s">
        <v>313</v>
      </c>
      <c r="E9" s="85" t="s">
        <v>171</v>
      </c>
      <c r="F9" s="73"/>
      <c r="G9" s="73"/>
      <c r="H9" s="101" t="s">
        <v>298</v>
      </c>
      <c r="I9" s="96">
        <v>45930</v>
      </c>
      <c r="J9" s="73"/>
      <c r="K9" s="88" t="s">
        <v>81</v>
      </c>
      <c r="L9" s="73"/>
    </row>
    <row r="10" spans="1:12" ht="72.5" x14ac:dyDescent="0.35">
      <c r="A10" s="73"/>
      <c r="B10" s="34" t="s">
        <v>170</v>
      </c>
      <c r="C10" s="94">
        <v>1.1399999999999999</v>
      </c>
      <c r="D10" s="104" t="s">
        <v>314</v>
      </c>
      <c r="E10" s="85" t="s">
        <v>171</v>
      </c>
      <c r="F10" s="73"/>
      <c r="G10" s="73"/>
      <c r="H10" s="101" t="s">
        <v>299</v>
      </c>
      <c r="I10" s="96">
        <v>45869</v>
      </c>
      <c r="J10" s="73"/>
      <c r="K10" s="88" t="s">
        <v>81</v>
      </c>
      <c r="L10" s="73"/>
    </row>
    <row r="11" spans="1:12" ht="87" x14ac:dyDescent="0.35">
      <c r="A11" s="73"/>
      <c r="B11" s="95" t="s">
        <v>321</v>
      </c>
      <c r="C11" s="94">
        <v>1.1499999999999999</v>
      </c>
      <c r="D11" s="104" t="s">
        <v>315</v>
      </c>
      <c r="E11" s="85" t="s">
        <v>171</v>
      </c>
      <c r="F11" s="73"/>
      <c r="G11" s="73"/>
      <c r="H11" s="101" t="s">
        <v>300</v>
      </c>
      <c r="I11" s="96" t="s">
        <v>177</v>
      </c>
      <c r="J11" s="73"/>
      <c r="K11" s="88" t="s">
        <v>169</v>
      </c>
      <c r="L11" s="73"/>
    </row>
    <row r="12" spans="1:12" ht="87" x14ac:dyDescent="0.35">
      <c r="A12" s="73"/>
      <c r="B12" s="95" t="s">
        <v>321</v>
      </c>
      <c r="C12" s="84">
        <v>5</v>
      </c>
      <c r="D12" s="104" t="s">
        <v>316</v>
      </c>
      <c r="E12" s="85" t="s">
        <v>39</v>
      </c>
      <c r="F12" s="99"/>
      <c r="G12" s="99"/>
      <c r="H12" s="101" t="s">
        <v>301</v>
      </c>
      <c r="I12" s="96">
        <v>46022</v>
      </c>
      <c r="J12" s="97" t="s">
        <v>175</v>
      </c>
      <c r="K12" s="100" t="s">
        <v>74</v>
      </c>
    </row>
    <row r="13" spans="1:12" ht="87" x14ac:dyDescent="0.35">
      <c r="A13" s="73"/>
      <c r="B13" s="95" t="s">
        <v>321</v>
      </c>
      <c r="C13" s="94">
        <v>4.0999999999999996</v>
      </c>
      <c r="D13" s="104" t="s">
        <v>317</v>
      </c>
      <c r="E13" s="85" t="s">
        <v>39</v>
      </c>
      <c r="F13" s="73"/>
      <c r="G13" s="73"/>
      <c r="H13" s="101" t="s">
        <v>302</v>
      </c>
      <c r="I13" s="96">
        <v>46022</v>
      </c>
      <c r="J13" s="73"/>
      <c r="K13" s="88" t="s">
        <v>81</v>
      </c>
      <c r="L13" s="73"/>
    </row>
    <row r="14" spans="1:12" ht="87" x14ac:dyDescent="0.35">
      <c r="A14" s="73"/>
      <c r="B14" s="95" t="s">
        <v>321</v>
      </c>
      <c r="C14" s="94">
        <v>4.2</v>
      </c>
      <c r="D14" s="104" t="s">
        <v>318</v>
      </c>
      <c r="E14" s="85" t="s">
        <v>171</v>
      </c>
      <c r="F14" s="73"/>
      <c r="G14" s="73"/>
      <c r="H14" s="101" t="s">
        <v>303</v>
      </c>
      <c r="I14" s="96">
        <v>46022</v>
      </c>
      <c r="J14" s="73"/>
      <c r="K14" s="88" t="s">
        <v>81</v>
      </c>
      <c r="L14" s="73"/>
    </row>
    <row r="15" spans="1:12" ht="87" x14ac:dyDescent="0.35">
      <c r="A15" s="73"/>
      <c r="B15" s="95" t="s">
        <v>321</v>
      </c>
      <c r="C15" s="94">
        <v>4.3</v>
      </c>
      <c r="D15" s="104" t="s">
        <v>319</v>
      </c>
      <c r="E15" s="85" t="s">
        <v>39</v>
      </c>
      <c r="F15" s="99"/>
      <c r="G15" s="99"/>
      <c r="H15" s="101" t="s">
        <v>304</v>
      </c>
      <c r="I15" s="96">
        <v>46022</v>
      </c>
      <c r="J15" s="73"/>
      <c r="K15" s="88" t="s">
        <v>81</v>
      </c>
      <c r="L15" s="73"/>
    </row>
    <row r="16" spans="1:12" ht="72.5" x14ac:dyDescent="0.35">
      <c r="A16" s="73"/>
      <c r="B16" s="95" t="s">
        <v>321</v>
      </c>
      <c r="C16" s="94">
        <v>4.4000000000000004</v>
      </c>
      <c r="D16" s="104" t="s">
        <v>320</v>
      </c>
      <c r="E16" s="85" t="s">
        <v>39</v>
      </c>
      <c r="F16" s="73"/>
      <c r="G16" s="73"/>
      <c r="H16" s="101" t="s">
        <v>305</v>
      </c>
      <c r="I16" s="96">
        <v>46022</v>
      </c>
      <c r="J16" s="73"/>
      <c r="K16" s="100" t="s">
        <v>74</v>
      </c>
      <c r="L16" s="73"/>
    </row>
  </sheetData>
  <autoFilter ref="A1:L16"/>
  <pageMargins left="0.7" right="0.7" top="0.75" bottom="0.75" header="0.3" footer="0.3"/>
  <pageSetup scale="45" orientation="portrait" r:id="rId1"/>
  <colBreaks count="1" manualBreakCount="1">
    <brk id="3" max="26"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
  <sheetViews>
    <sheetView zoomScale="85" zoomScaleNormal="85" workbookViewId="0">
      <pane ySplit="1" topLeftCell="A2" activePane="bottomLeft" state="frozen"/>
      <selection pane="bottomLeft" activeCell="Q11" sqref="Q11"/>
    </sheetView>
  </sheetViews>
  <sheetFormatPr defaultRowHeight="14.5" x14ac:dyDescent="0.35"/>
  <cols>
    <col min="1" max="1" width="48.90625" customWidth="1"/>
    <col min="2" max="2" width="8.81640625" customWidth="1"/>
    <col min="3" max="3" width="6.81640625" customWidth="1"/>
    <col min="4" max="4" width="9" customWidth="1"/>
    <col min="5" max="7" width="9" hidden="1" customWidth="1"/>
    <col min="8" max="9" width="9.90625" hidden="1" customWidth="1"/>
    <col min="10" max="12" width="9" hidden="1" customWidth="1"/>
    <col min="13" max="14" width="8.1796875" hidden="1" customWidth="1"/>
    <col min="15" max="16" width="9" customWidth="1"/>
    <col min="17" max="17" width="8.1796875" customWidth="1"/>
    <col min="18" max="18" width="12.26953125" customWidth="1"/>
    <col min="19" max="19" width="13.1796875" customWidth="1"/>
    <col min="20" max="20" width="9" customWidth="1"/>
    <col min="21" max="21" width="13.54296875" bestFit="1" customWidth="1"/>
    <col min="22" max="22" width="10.08984375" bestFit="1" customWidth="1"/>
    <col min="23" max="23" width="9.26953125" customWidth="1"/>
    <col min="24" max="24" width="8.08984375" customWidth="1"/>
    <col min="25" max="25" width="5.90625" customWidth="1"/>
  </cols>
  <sheetData>
    <row r="1" spans="1:25" ht="39" x14ac:dyDescent="0.35">
      <c r="A1" s="79" t="s">
        <v>145</v>
      </c>
      <c r="B1" s="80" t="s">
        <v>146</v>
      </c>
      <c r="C1" s="80" t="s">
        <v>139</v>
      </c>
      <c r="D1" s="80" t="s">
        <v>81</v>
      </c>
      <c r="E1" s="81" t="s">
        <v>150</v>
      </c>
      <c r="F1" s="81" t="s">
        <v>151</v>
      </c>
      <c r="G1" s="81" t="s">
        <v>152</v>
      </c>
      <c r="H1" s="81" t="s">
        <v>154</v>
      </c>
      <c r="I1" s="81" t="s">
        <v>155</v>
      </c>
      <c r="J1" s="81" t="s">
        <v>156</v>
      </c>
      <c r="K1" s="81" t="s">
        <v>159</v>
      </c>
      <c r="L1" s="81" t="s">
        <v>161</v>
      </c>
      <c r="M1" s="81" t="s">
        <v>163</v>
      </c>
      <c r="N1" s="81" t="s">
        <v>164</v>
      </c>
      <c r="O1" s="81" t="s">
        <v>167</v>
      </c>
      <c r="P1" s="81" t="s">
        <v>167</v>
      </c>
      <c r="Q1" s="81" t="s">
        <v>168</v>
      </c>
      <c r="R1" s="81" t="s">
        <v>178</v>
      </c>
      <c r="S1" s="81" t="s">
        <v>179</v>
      </c>
      <c r="T1" s="80" t="s">
        <v>147</v>
      </c>
      <c r="U1" s="80" t="s">
        <v>140</v>
      </c>
      <c r="V1" s="80" t="s">
        <v>141</v>
      </c>
      <c r="W1" s="112" t="s">
        <v>148</v>
      </c>
      <c r="X1" s="112"/>
      <c r="Y1" s="113"/>
    </row>
    <row r="2" spans="1:25" x14ac:dyDescent="0.35">
      <c r="A2" s="114" t="s">
        <v>157</v>
      </c>
      <c r="B2" s="115"/>
      <c r="C2" s="115"/>
      <c r="D2" s="115"/>
      <c r="E2" s="115"/>
      <c r="F2" s="115"/>
      <c r="G2" s="115"/>
      <c r="H2" s="115"/>
      <c r="I2" s="115"/>
      <c r="J2" s="115"/>
      <c r="K2" s="115"/>
      <c r="L2" s="115"/>
      <c r="M2" s="115"/>
      <c r="N2" s="115"/>
      <c r="O2" s="115"/>
      <c r="P2" s="115"/>
      <c r="Q2" s="115"/>
      <c r="R2" s="115"/>
      <c r="S2" s="115"/>
      <c r="T2" s="115"/>
      <c r="U2" s="115"/>
      <c r="V2" s="115"/>
      <c r="W2" s="78" t="s">
        <v>142</v>
      </c>
      <c r="X2" s="78" t="s">
        <v>143</v>
      </c>
      <c r="Y2" s="82" t="s">
        <v>144</v>
      </c>
    </row>
    <row r="3" spans="1:25" ht="24" customHeight="1" x14ac:dyDescent="0.35">
      <c r="A3" s="110" t="s">
        <v>180</v>
      </c>
      <c r="B3" s="107">
        <v>3</v>
      </c>
      <c r="C3" s="107">
        <v>2</v>
      </c>
      <c r="D3" s="107">
        <v>1</v>
      </c>
      <c r="E3" s="107">
        <v>0</v>
      </c>
      <c r="F3" s="107">
        <v>0</v>
      </c>
      <c r="G3" s="107">
        <v>1</v>
      </c>
      <c r="H3" s="107"/>
      <c r="I3" s="107">
        <v>2</v>
      </c>
      <c r="J3" s="107"/>
      <c r="K3" s="107">
        <v>1</v>
      </c>
      <c r="L3" s="107"/>
      <c r="M3" s="107"/>
      <c r="N3" s="107"/>
      <c r="O3" s="107"/>
      <c r="P3" s="107"/>
      <c r="Q3" s="107"/>
      <c r="R3" s="107"/>
      <c r="S3" s="107"/>
      <c r="T3" s="107">
        <v>0</v>
      </c>
      <c r="U3" s="107">
        <v>1</v>
      </c>
      <c r="V3" s="107">
        <v>0</v>
      </c>
      <c r="W3" s="107">
        <v>0</v>
      </c>
      <c r="X3" s="107">
        <v>0</v>
      </c>
      <c r="Y3" s="108">
        <v>0</v>
      </c>
    </row>
    <row r="4" spans="1:25" ht="24" customHeight="1" x14ac:dyDescent="0.35">
      <c r="A4" s="110" t="s">
        <v>187</v>
      </c>
      <c r="B4" s="107">
        <v>3</v>
      </c>
      <c r="C4" s="107">
        <v>3</v>
      </c>
      <c r="D4" s="107"/>
      <c r="E4" s="107">
        <v>1</v>
      </c>
      <c r="F4" s="107">
        <v>0</v>
      </c>
      <c r="G4" s="107">
        <v>0</v>
      </c>
      <c r="H4" s="107"/>
      <c r="I4" s="107"/>
      <c r="J4" s="107"/>
      <c r="K4" s="107"/>
      <c r="L4" s="107">
        <v>1</v>
      </c>
      <c r="M4" s="107"/>
      <c r="N4" s="107"/>
      <c r="O4" s="107"/>
      <c r="P4" s="107"/>
      <c r="Q4" s="107"/>
      <c r="R4" s="107"/>
      <c r="S4" s="107"/>
      <c r="T4" s="107">
        <v>0</v>
      </c>
      <c r="U4" s="107">
        <v>0</v>
      </c>
      <c r="V4" s="107">
        <v>0</v>
      </c>
      <c r="W4" s="107">
        <v>0</v>
      </c>
      <c r="X4" s="107">
        <v>0</v>
      </c>
      <c r="Y4" s="108">
        <v>0</v>
      </c>
    </row>
    <row r="5" spans="1:25" ht="24" customHeight="1" x14ac:dyDescent="0.35">
      <c r="A5" s="110" t="s">
        <v>194</v>
      </c>
      <c r="B5" s="107">
        <v>3</v>
      </c>
      <c r="C5" s="107">
        <v>3</v>
      </c>
      <c r="D5" s="107"/>
      <c r="E5" s="107">
        <v>0</v>
      </c>
      <c r="F5" s="107">
        <v>5</v>
      </c>
      <c r="G5" s="107">
        <v>1</v>
      </c>
      <c r="H5" s="107"/>
      <c r="I5" s="107"/>
      <c r="J5" s="107"/>
      <c r="K5" s="107">
        <v>1</v>
      </c>
      <c r="L5" s="107"/>
      <c r="M5" s="107"/>
      <c r="N5" s="107"/>
      <c r="O5" s="107"/>
      <c r="P5" s="107"/>
      <c r="Q5" s="107"/>
      <c r="R5" s="107"/>
      <c r="S5" s="107"/>
      <c r="T5" s="107">
        <v>0</v>
      </c>
      <c r="U5" s="107">
        <v>0</v>
      </c>
      <c r="V5" s="107">
        <v>0</v>
      </c>
      <c r="W5" s="107">
        <v>0</v>
      </c>
      <c r="X5" s="107">
        <v>0</v>
      </c>
      <c r="Y5" s="108">
        <v>0</v>
      </c>
    </row>
    <row r="6" spans="1:25" ht="24" customHeight="1" x14ac:dyDescent="0.35">
      <c r="A6" s="110" t="s">
        <v>78</v>
      </c>
      <c r="B6" s="107">
        <v>3</v>
      </c>
      <c r="C6" s="107">
        <v>3</v>
      </c>
      <c r="D6" s="107"/>
      <c r="E6" s="107"/>
      <c r="F6" s="107"/>
      <c r="G6" s="107"/>
      <c r="H6" s="107"/>
      <c r="I6" s="107"/>
      <c r="J6" s="107"/>
      <c r="K6" s="107"/>
      <c r="L6" s="107">
        <v>1</v>
      </c>
      <c r="M6" s="107"/>
      <c r="N6" s="107"/>
      <c r="O6" s="107"/>
      <c r="P6" s="107"/>
      <c r="Q6" s="107"/>
      <c r="R6" s="107"/>
      <c r="S6" s="107"/>
      <c r="T6" s="107">
        <v>0</v>
      </c>
      <c r="U6" s="107">
        <v>0</v>
      </c>
      <c r="V6" s="107">
        <v>0</v>
      </c>
      <c r="W6" s="107">
        <v>0</v>
      </c>
      <c r="X6" s="107">
        <v>0</v>
      </c>
      <c r="Y6" s="108">
        <v>0</v>
      </c>
    </row>
    <row r="7" spans="1:25" ht="24" customHeight="1" x14ac:dyDescent="0.35">
      <c r="A7" s="110" t="s">
        <v>207</v>
      </c>
      <c r="B7" s="107">
        <v>4</v>
      </c>
      <c r="C7" s="107">
        <v>4</v>
      </c>
      <c r="D7" s="107"/>
      <c r="E7" s="107">
        <v>5</v>
      </c>
      <c r="F7" s="107">
        <v>2</v>
      </c>
      <c r="G7" s="107">
        <v>12</v>
      </c>
      <c r="H7" s="107">
        <v>2</v>
      </c>
      <c r="I7" s="107">
        <v>1</v>
      </c>
      <c r="J7" s="107">
        <v>2</v>
      </c>
      <c r="K7" s="107">
        <v>1</v>
      </c>
      <c r="L7" s="107">
        <v>2</v>
      </c>
      <c r="M7" s="107"/>
      <c r="N7" s="107"/>
      <c r="O7" s="107"/>
      <c r="P7" s="116"/>
      <c r="Q7" s="107"/>
      <c r="R7" s="107"/>
      <c r="S7" s="107"/>
      <c r="T7" s="107">
        <v>0</v>
      </c>
      <c r="U7" s="107">
        <v>0</v>
      </c>
      <c r="V7" s="107">
        <v>0</v>
      </c>
      <c r="W7" s="107">
        <v>0</v>
      </c>
      <c r="X7" s="107">
        <v>0</v>
      </c>
      <c r="Y7" s="108">
        <v>0</v>
      </c>
    </row>
    <row r="8" spans="1:25" ht="29" x14ac:dyDescent="0.35">
      <c r="A8" s="110" t="s">
        <v>216</v>
      </c>
      <c r="B8" s="107">
        <v>4</v>
      </c>
      <c r="C8" s="107">
        <v>3</v>
      </c>
      <c r="D8" s="107">
        <v>1</v>
      </c>
      <c r="E8" s="109">
        <v>1</v>
      </c>
      <c r="F8" s="107">
        <v>1</v>
      </c>
      <c r="G8" s="107">
        <v>7</v>
      </c>
      <c r="H8" s="107"/>
      <c r="I8" s="109"/>
      <c r="J8" s="107"/>
      <c r="K8" s="107">
        <v>2</v>
      </c>
      <c r="L8" s="107"/>
      <c r="M8" s="107"/>
      <c r="N8" s="107"/>
      <c r="O8" s="107"/>
      <c r="P8" s="107"/>
      <c r="Q8" s="107"/>
      <c r="R8" s="107"/>
      <c r="S8" s="107"/>
      <c r="T8" s="107">
        <v>0</v>
      </c>
      <c r="U8" s="107">
        <v>0</v>
      </c>
      <c r="V8" s="107">
        <v>0</v>
      </c>
      <c r="W8" s="107">
        <v>0</v>
      </c>
      <c r="X8" s="107">
        <v>0</v>
      </c>
      <c r="Y8" s="108">
        <v>0</v>
      </c>
    </row>
    <row r="9" spans="1:25" ht="24" customHeight="1" x14ac:dyDescent="0.35">
      <c r="A9" s="111" t="s">
        <v>324</v>
      </c>
      <c r="B9" s="107">
        <v>11</v>
      </c>
      <c r="C9" s="107">
        <v>11</v>
      </c>
      <c r="D9" s="107"/>
      <c r="E9" s="109">
        <v>4</v>
      </c>
      <c r="F9" s="107">
        <v>3</v>
      </c>
      <c r="G9" s="107">
        <v>2</v>
      </c>
      <c r="H9" s="107"/>
      <c r="I9" s="109"/>
      <c r="J9" s="107"/>
      <c r="K9" s="107"/>
      <c r="L9" s="107"/>
      <c r="M9" s="107"/>
      <c r="N9" s="107"/>
      <c r="O9" s="107"/>
      <c r="P9" s="107"/>
      <c r="Q9" s="107"/>
      <c r="R9" s="107"/>
      <c r="S9" s="107"/>
      <c r="T9" s="107">
        <v>0</v>
      </c>
      <c r="U9" s="107">
        <v>0</v>
      </c>
      <c r="V9" s="107">
        <v>0</v>
      </c>
      <c r="W9" s="107">
        <v>0</v>
      </c>
      <c r="X9" s="107">
        <v>0</v>
      </c>
      <c r="Y9" s="108">
        <v>0</v>
      </c>
    </row>
    <row r="10" spans="1:25" ht="24" customHeight="1" x14ac:dyDescent="0.35">
      <c r="A10" s="111" t="s">
        <v>325</v>
      </c>
      <c r="B10" s="107">
        <v>10</v>
      </c>
      <c r="C10" s="107">
        <v>10</v>
      </c>
      <c r="D10" s="107"/>
      <c r="E10" s="107">
        <v>6</v>
      </c>
      <c r="F10" s="107">
        <v>2</v>
      </c>
      <c r="G10" s="107">
        <v>2</v>
      </c>
      <c r="H10" s="107"/>
      <c r="I10" s="107"/>
      <c r="J10" s="107"/>
      <c r="K10" s="107"/>
      <c r="L10" s="107"/>
      <c r="M10" s="107"/>
      <c r="N10" s="107"/>
      <c r="O10" s="107"/>
      <c r="P10" s="107"/>
      <c r="Q10" s="107"/>
      <c r="R10" s="107"/>
      <c r="S10" s="107"/>
      <c r="T10" s="107">
        <v>0</v>
      </c>
      <c r="U10" s="107">
        <v>0</v>
      </c>
      <c r="V10" s="107">
        <v>0</v>
      </c>
      <c r="W10" s="107">
        <v>0</v>
      </c>
      <c r="X10" s="107">
        <v>0</v>
      </c>
      <c r="Y10" s="108">
        <v>0</v>
      </c>
    </row>
    <row r="11" spans="1:25" ht="24" customHeight="1" thickBot="1" x14ac:dyDescent="0.4">
      <c r="A11" s="111" t="s">
        <v>326</v>
      </c>
      <c r="B11" s="107">
        <v>15</v>
      </c>
      <c r="C11" s="107">
        <v>3</v>
      </c>
      <c r="D11" s="107">
        <v>12</v>
      </c>
      <c r="E11" s="107"/>
      <c r="F11" s="107"/>
      <c r="G11" s="107"/>
      <c r="H11" s="107"/>
      <c r="I11" s="107"/>
      <c r="J11" s="107"/>
      <c r="K11" s="107"/>
      <c r="L11" s="107">
        <v>1</v>
      </c>
      <c r="M11" s="107"/>
      <c r="N11" s="107"/>
      <c r="O11" s="107"/>
      <c r="P11" s="107"/>
      <c r="Q11" s="107"/>
      <c r="R11" s="107"/>
      <c r="S11" s="107"/>
      <c r="T11" s="107">
        <v>9</v>
      </c>
      <c r="U11" s="107">
        <v>3</v>
      </c>
      <c r="V11" s="107">
        <v>0</v>
      </c>
      <c r="W11" s="107">
        <v>0</v>
      </c>
      <c r="X11" s="107">
        <v>0</v>
      </c>
      <c r="Y11" s="108">
        <v>0</v>
      </c>
    </row>
    <row r="12" spans="1:25" ht="24" customHeight="1" thickBot="1" x14ac:dyDescent="0.4">
      <c r="A12" s="83" t="s">
        <v>84</v>
      </c>
      <c r="B12" s="106">
        <f>SUM(B3:B11)</f>
        <v>56</v>
      </c>
      <c r="C12" s="106">
        <f t="shared" ref="C12:Y12" si="0">SUM(C3:C11)</f>
        <v>42</v>
      </c>
      <c r="D12" s="106">
        <f t="shared" si="0"/>
        <v>14</v>
      </c>
      <c r="E12" s="106">
        <f t="shared" si="0"/>
        <v>17</v>
      </c>
      <c r="F12" s="106">
        <f t="shared" si="0"/>
        <v>13</v>
      </c>
      <c r="G12" s="106">
        <f t="shared" si="0"/>
        <v>25</v>
      </c>
      <c r="H12" s="106">
        <f t="shared" si="0"/>
        <v>2</v>
      </c>
      <c r="I12" s="106">
        <f t="shared" si="0"/>
        <v>3</v>
      </c>
      <c r="J12" s="106">
        <f t="shared" si="0"/>
        <v>2</v>
      </c>
      <c r="K12" s="106">
        <f t="shared" si="0"/>
        <v>5</v>
      </c>
      <c r="L12" s="106">
        <f t="shared" si="0"/>
        <v>5</v>
      </c>
      <c r="M12" s="106">
        <f t="shared" si="0"/>
        <v>0</v>
      </c>
      <c r="N12" s="106">
        <f t="shared" si="0"/>
        <v>0</v>
      </c>
      <c r="O12" s="106">
        <f t="shared" si="0"/>
        <v>0</v>
      </c>
      <c r="P12" s="106">
        <f t="shared" si="0"/>
        <v>0</v>
      </c>
      <c r="Q12" s="106">
        <f t="shared" si="0"/>
        <v>0</v>
      </c>
      <c r="R12" s="106">
        <f t="shared" si="0"/>
        <v>0</v>
      </c>
      <c r="S12" s="106">
        <f t="shared" si="0"/>
        <v>0</v>
      </c>
      <c r="T12" s="106">
        <f t="shared" si="0"/>
        <v>9</v>
      </c>
      <c r="U12" s="106">
        <f t="shared" si="0"/>
        <v>4</v>
      </c>
      <c r="V12" s="106">
        <f t="shared" si="0"/>
        <v>0</v>
      </c>
      <c r="W12" s="106">
        <f t="shared" si="0"/>
        <v>0</v>
      </c>
      <c r="X12" s="106">
        <f t="shared" si="0"/>
        <v>0</v>
      </c>
      <c r="Y12" s="106">
        <f t="shared" si="0"/>
        <v>0</v>
      </c>
    </row>
    <row r="16" spans="1:25" x14ac:dyDescent="0.35">
      <c r="A16" s="105"/>
    </row>
    <row r="17" spans="1:1" x14ac:dyDescent="0.35">
      <c r="A17" s="105"/>
    </row>
    <row r="18" spans="1:1" x14ac:dyDescent="0.35">
      <c r="A18" s="105"/>
    </row>
    <row r="19" spans="1:1" x14ac:dyDescent="0.35">
      <c r="A19" s="105"/>
    </row>
    <row r="20" spans="1:1" x14ac:dyDescent="0.35">
      <c r="A20" s="105"/>
    </row>
    <row r="21" spans="1:1" x14ac:dyDescent="0.35">
      <c r="A21" s="105"/>
    </row>
  </sheetData>
  <mergeCells count="2">
    <mergeCell ref="W1:Y1"/>
    <mergeCell ref="A2:V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Audit_OS_Points</vt:lpstr>
      <vt:lpstr>Sheet1</vt:lpstr>
      <vt:lpstr>Internal Audit</vt:lpstr>
      <vt:lpstr>ML Int'l</vt:lpstr>
      <vt:lpstr>ML Domestic</vt:lpstr>
      <vt:lpstr>SBP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Bilal Tasneem</dc:creator>
  <cp:lastModifiedBy>Muhammad Haris Hashmi</cp:lastModifiedBy>
  <cp:lastPrinted>2025-09-25T05:23:37Z</cp:lastPrinted>
  <dcterms:created xsi:type="dcterms:W3CDTF">2022-03-25T04:43:32Z</dcterms:created>
  <dcterms:modified xsi:type="dcterms:W3CDTF">2026-04-23T10:05:46Z</dcterms:modified>
</cp:coreProperties>
</file>