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24226"/>
  <mc:AlternateContent xmlns:mc="http://schemas.openxmlformats.org/markup-compatibility/2006">
    <mc:Choice Requires="x15">
      <x15ac:absPath xmlns:x15ac="http://schemas.microsoft.com/office/spreadsheetml/2010/11/ac" url="C:\Users\SalmanRizvi\Desktop\"/>
    </mc:Choice>
  </mc:AlternateContent>
  <xr:revisionPtr revIDLastSave="0" documentId="8_{3EC10EF7-8802-4F16-B613-F9EC485E6127}" xr6:coauthVersionLast="45" xr6:coauthVersionMax="45" xr10:uidLastSave="{00000000-0000-0000-0000-000000000000}"/>
  <bookViews>
    <workbookView xWindow="-108" yWindow="-108" windowWidth="23256" windowHeight="12576" activeTab="1" xr2:uid="{00000000-000D-0000-FFFF-FFFF00000000}"/>
  </bookViews>
  <sheets>
    <sheet name="Version" sheetId="11" r:id="rId1"/>
    <sheet name="Risk Assessment" sheetId="27" r:id="rId2"/>
    <sheet name="Criteria" sheetId="23" r:id="rId3"/>
    <sheet name="Asset Valuation" sheetId="21" r:id="rId4"/>
  </sheets>
  <definedNames>
    <definedName name="_xlnm._FilterDatabase" localSheetId="3" hidden="1">'Asset Valuation'!$B$5:$G$5</definedName>
    <definedName name="_xlnm._FilterDatabase" localSheetId="1" hidden="1">'Risk Assessment'!$A$3:$AB$241</definedName>
  </definedNames>
  <calcPr calcId="191029"/>
</workbook>
</file>

<file path=xl/calcChain.xml><?xml version="1.0" encoding="utf-8"?>
<calcChain xmlns="http://schemas.openxmlformats.org/spreadsheetml/2006/main">
  <c r="L160" i="27" l="1"/>
  <c r="M160" i="27" s="1"/>
  <c r="Q160" i="27"/>
  <c r="R160" i="27" s="1"/>
  <c r="Q241" i="27"/>
  <c r="Z241" i="27" s="1"/>
  <c r="L241" i="27"/>
  <c r="M241" i="27" s="1"/>
  <c r="Q240" i="27"/>
  <c r="Z240" i="27" s="1"/>
  <c r="L240" i="27"/>
  <c r="M240" i="27" s="1"/>
  <c r="Q239" i="27"/>
  <c r="Z239" i="27" s="1"/>
  <c r="L239" i="27"/>
  <c r="M239" i="27" s="1"/>
  <c r="Q238" i="27"/>
  <c r="R238" i="27" s="1"/>
  <c r="L238" i="27"/>
  <c r="M238" i="27" s="1"/>
  <c r="Q237" i="27"/>
  <c r="Z237" i="27" s="1"/>
  <c r="L237" i="27"/>
  <c r="M237" i="27" s="1"/>
  <c r="Q236" i="27"/>
  <c r="R236" i="27" s="1"/>
  <c r="L236" i="27"/>
  <c r="M236" i="27" s="1"/>
  <c r="Q235" i="27"/>
  <c r="Z235" i="27" s="1"/>
  <c r="L235" i="27"/>
  <c r="M235" i="27" s="1"/>
  <c r="Q234" i="27"/>
  <c r="R234" i="27" s="1"/>
  <c r="L234" i="27"/>
  <c r="M234" i="27" s="1"/>
  <c r="Q233" i="27"/>
  <c r="Z233" i="27" s="1"/>
  <c r="L233" i="27"/>
  <c r="M233" i="27" s="1"/>
  <c r="Q232" i="27"/>
  <c r="Z232" i="27" s="1"/>
  <c r="L232" i="27"/>
  <c r="M232" i="27" s="1"/>
  <c r="Q231" i="27"/>
  <c r="Z231" i="27" s="1"/>
  <c r="L231" i="27"/>
  <c r="M231" i="27" s="1"/>
  <c r="Q230" i="27"/>
  <c r="Z230" i="27" s="1"/>
  <c r="L230" i="27"/>
  <c r="M230" i="27" s="1"/>
  <c r="Q229" i="27"/>
  <c r="Z229" i="27" s="1"/>
  <c r="L229" i="27"/>
  <c r="M229" i="27" s="1"/>
  <c r="Q228" i="27"/>
  <c r="R228" i="27" s="1"/>
  <c r="L228" i="27"/>
  <c r="M228" i="27" s="1"/>
  <c r="Q227" i="27"/>
  <c r="Z227" i="27" s="1"/>
  <c r="L227" i="27"/>
  <c r="M227" i="27" s="1"/>
  <c r="Q226" i="27"/>
  <c r="L226" i="27"/>
  <c r="M226" i="27" s="1"/>
  <c r="Q225" i="27"/>
  <c r="Z225" i="27" s="1"/>
  <c r="L225" i="27"/>
  <c r="M225" i="27" s="1"/>
  <c r="Q224" i="27"/>
  <c r="Z224" i="27" s="1"/>
  <c r="L224" i="27"/>
  <c r="M224" i="27" s="1"/>
  <c r="Q223" i="27"/>
  <c r="Z223" i="27" s="1"/>
  <c r="L223" i="27"/>
  <c r="M223" i="27" s="1"/>
  <c r="Q222" i="27"/>
  <c r="R222" i="27" s="1"/>
  <c r="L222" i="27"/>
  <c r="M222" i="27" s="1"/>
  <c r="Q221" i="27"/>
  <c r="Z221" i="27" s="1"/>
  <c r="L221" i="27"/>
  <c r="M221" i="27" s="1"/>
  <c r="Q220" i="27"/>
  <c r="Z220" i="27" s="1"/>
  <c r="L220" i="27"/>
  <c r="M220" i="27" s="1"/>
  <c r="Q219" i="27"/>
  <c r="Z219" i="27" s="1"/>
  <c r="L219" i="27"/>
  <c r="M219" i="27" s="1"/>
  <c r="Q218" i="27"/>
  <c r="L218" i="27"/>
  <c r="M218" i="27" s="1"/>
  <c r="Q217" i="27"/>
  <c r="Z217" i="27" s="1"/>
  <c r="L217" i="27"/>
  <c r="M217" i="27" s="1"/>
  <c r="Q216" i="27"/>
  <c r="Z216" i="27" s="1"/>
  <c r="L216" i="27"/>
  <c r="M216" i="27" s="1"/>
  <c r="Q215" i="27"/>
  <c r="Z215" i="27" s="1"/>
  <c r="L215" i="27"/>
  <c r="M215" i="27" s="1"/>
  <c r="Q214" i="27"/>
  <c r="L214" i="27"/>
  <c r="M214" i="27" s="1"/>
  <c r="Q213" i="27"/>
  <c r="Z213" i="27" s="1"/>
  <c r="L213" i="27"/>
  <c r="M213" i="27" s="1"/>
  <c r="Q212" i="27"/>
  <c r="Z212" i="27" s="1"/>
  <c r="L212" i="27"/>
  <c r="M212" i="27" s="1"/>
  <c r="Q211" i="27"/>
  <c r="Z211" i="27" s="1"/>
  <c r="L211" i="27"/>
  <c r="M211" i="27" s="1"/>
  <c r="Q210" i="27"/>
  <c r="Z210" i="27" s="1"/>
  <c r="L210" i="27"/>
  <c r="M210" i="27" s="1"/>
  <c r="Q209" i="27"/>
  <c r="Z209" i="27" s="1"/>
  <c r="L209" i="27"/>
  <c r="M209" i="27" s="1"/>
  <c r="Q208" i="27"/>
  <c r="Z208" i="27" s="1"/>
  <c r="L208" i="27"/>
  <c r="M208" i="27" s="1"/>
  <c r="Q207" i="27"/>
  <c r="Z207" i="27" s="1"/>
  <c r="L207" i="27"/>
  <c r="M207" i="27" s="1"/>
  <c r="Q206" i="27"/>
  <c r="Z206" i="27" s="1"/>
  <c r="L206" i="27"/>
  <c r="M206" i="27" s="1"/>
  <c r="Q205" i="27"/>
  <c r="Z205" i="27" s="1"/>
  <c r="L205" i="27"/>
  <c r="M205" i="27" s="1"/>
  <c r="Q204" i="27"/>
  <c r="Z204" i="27" s="1"/>
  <c r="L204" i="27"/>
  <c r="M204" i="27" s="1"/>
  <c r="Q203" i="27"/>
  <c r="Z203" i="27" s="1"/>
  <c r="L203" i="27"/>
  <c r="M203" i="27" s="1"/>
  <c r="Q202" i="27"/>
  <c r="Z202" i="27" s="1"/>
  <c r="L202" i="27"/>
  <c r="M202" i="27" s="1"/>
  <c r="Q201" i="27"/>
  <c r="Z201" i="27" s="1"/>
  <c r="L201" i="27"/>
  <c r="M201" i="27" s="1"/>
  <c r="Q200" i="27"/>
  <c r="Z200" i="27" s="1"/>
  <c r="L200" i="27"/>
  <c r="M200" i="27" s="1"/>
  <c r="Q199" i="27"/>
  <c r="Z199" i="27" s="1"/>
  <c r="L199" i="27"/>
  <c r="M199" i="27" s="1"/>
  <c r="Q198" i="27"/>
  <c r="Z198" i="27" s="1"/>
  <c r="L198" i="27"/>
  <c r="M198" i="27" s="1"/>
  <c r="Q197" i="27"/>
  <c r="Z197" i="27" s="1"/>
  <c r="L197" i="27"/>
  <c r="M197" i="27" s="1"/>
  <c r="Q196" i="27"/>
  <c r="Z196" i="27" s="1"/>
  <c r="L196" i="27"/>
  <c r="M196" i="27" s="1"/>
  <c r="Q195" i="27"/>
  <c r="Z195" i="27" s="1"/>
  <c r="L195" i="27"/>
  <c r="M195" i="27" s="1"/>
  <c r="Q194" i="27"/>
  <c r="Z194" i="27" s="1"/>
  <c r="L194" i="27"/>
  <c r="M194" i="27" s="1"/>
  <c r="Q193" i="27"/>
  <c r="Z193" i="27" s="1"/>
  <c r="L193" i="27"/>
  <c r="M193" i="27" s="1"/>
  <c r="Q192" i="27"/>
  <c r="R192" i="27" s="1"/>
  <c r="L192" i="27"/>
  <c r="M192" i="27" s="1"/>
  <c r="Q191" i="27"/>
  <c r="Z191" i="27" s="1"/>
  <c r="L191" i="27"/>
  <c r="M191" i="27" s="1"/>
  <c r="Q190" i="27"/>
  <c r="L190" i="27"/>
  <c r="M190" i="27" s="1"/>
  <c r="Q189" i="27"/>
  <c r="Z189" i="27" s="1"/>
  <c r="L189" i="27"/>
  <c r="M189" i="27" s="1"/>
  <c r="Q188" i="27"/>
  <c r="Z188" i="27" s="1"/>
  <c r="L188" i="27"/>
  <c r="M188" i="27" s="1"/>
  <c r="Q187" i="27"/>
  <c r="Z187" i="27" s="1"/>
  <c r="L187" i="27"/>
  <c r="M187" i="27" s="1"/>
  <c r="Q186" i="27"/>
  <c r="Z186" i="27" s="1"/>
  <c r="L186" i="27"/>
  <c r="M186" i="27" s="1"/>
  <c r="Q185" i="27"/>
  <c r="Z185" i="27" s="1"/>
  <c r="L185" i="27"/>
  <c r="M185" i="27" s="1"/>
  <c r="Q184" i="27"/>
  <c r="R184" i="27" s="1"/>
  <c r="L184" i="27"/>
  <c r="M184" i="27" s="1"/>
  <c r="Q183" i="27"/>
  <c r="Z183" i="27" s="1"/>
  <c r="L183" i="27"/>
  <c r="M183" i="27" s="1"/>
  <c r="Q182" i="27"/>
  <c r="Z182" i="27" s="1"/>
  <c r="L182" i="27"/>
  <c r="M182" i="27" s="1"/>
  <c r="Q181" i="27"/>
  <c r="L181" i="27"/>
  <c r="M181" i="27" s="1"/>
  <c r="Q180" i="27"/>
  <c r="R180" i="27" s="1"/>
  <c r="L180" i="27"/>
  <c r="M180" i="27" s="1"/>
  <c r="Q179" i="27"/>
  <c r="Z179" i="27" s="1"/>
  <c r="L179" i="27"/>
  <c r="M179" i="27" s="1"/>
  <c r="Q178" i="27"/>
  <c r="Z178" i="27" s="1"/>
  <c r="L178" i="27"/>
  <c r="M178" i="27" s="1"/>
  <c r="Q177" i="27"/>
  <c r="Z177" i="27" s="1"/>
  <c r="L177" i="27"/>
  <c r="M177" i="27" s="1"/>
  <c r="Q176" i="27"/>
  <c r="R176" i="27" s="1"/>
  <c r="L176" i="27"/>
  <c r="M176" i="27" s="1"/>
  <c r="Q175" i="27"/>
  <c r="Z175" i="27" s="1"/>
  <c r="L175" i="27"/>
  <c r="M175" i="27" s="1"/>
  <c r="Q174" i="27"/>
  <c r="R174" i="27" s="1"/>
  <c r="L174" i="27"/>
  <c r="M174" i="27" s="1"/>
  <c r="Q173" i="27"/>
  <c r="Z173" i="27" s="1"/>
  <c r="L173" i="27"/>
  <c r="M173" i="27" s="1"/>
  <c r="Q172" i="27"/>
  <c r="R172" i="27" s="1"/>
  <c r="L172" i="27"/>
  <c r="M172" i="27" s="1"/>
  <c r="Q171" i="27"/>
  <c r="Z171" i="27" s="1"/>
  <c r="L171" i="27"/>
  <c r="M171" i="27" s="1"/>
  <c r="Q170" i="27"/>
  <c r="Z170" i="27" s="1"/>
  <c r="L170" i="27"/>
  <c r="M170" i="27" s="1"/>
  <c r="Q169" i="27"/>
  <c r="Z169" i="27" s="1"/>
  <c r="L169" i="27"/>
  <c r="M169" i="27" s="1"/>
  <c r="Q168" i="27"/>
  <c r="R168" i="27" s="1"/>
  <c r="L168" i="27"/>
  <c r="M168" i="27" s="1"/>
  <c r="Q167" i="27"/>
  <c r="R167" i="27" s="1"/>
  <c r="L167" i="27"/>
  <c r="M167" i="27" s="1"/>
  <c r="Q166" i="27"/>
  <c r="R166" i="27" s="1"/>
  <c r="L166" i="27"/>
  <c r="M166" i="27" s="1"/>
  <c r="Q165" i="27"/>
  <c r="L165" i="27"/>
  <c r="M165" i="27" s="1"/>
  <c r="Q164" i="27"/>
  <c r="R164" i="27" s="1"/>
  <c r="L164" i="27"/>
  <c r="M164" i="27" s="1"/>
  <c r="Q163" i="27"/>
  <c r="Z163" i="27" s="1"/>
  <c r="L163" i="27"/>
  <c r="M163" i="27" s="1"/>
  <c r="Q162" i="27"/>
  <c r="L162" i="27"/>
  <c r="M162" i="27" s="1"/>
  <c r="Q161" i="27"/>
  <c r="Z161" i="27" s="1"/>
  <c r="L161" i="27"/>
  <c r="M161" i="27" s="1"/>
  <c r="Q159" i="27"/>
  <c r="Z159" i="27" s="1"/>
  <c r="L159" i="27"/>
  <c r="M159" i="27" s="1"/>
  <c r="Q158" i="27"/>
  <c r="L158" i="27"/>
  <c r="M158" i="27" s="1"/>
  <c r="Q157" i="27"/>
  <c r="Z157" i="27" s="1"/>
  <c r="L157" i="27"/>
  <c r="M157" i="27" s="1"/>
  <c r="Q156" i="27"/>
  <c r="R156" i="27" s="1"/>
  <c r="L156" i="27"/>
  <c r="M156" i="27" s="1"/>
  <c r="Q155" i="27"/>
  <c r="Z155" i="27" s="1"/>
  <c r="L155" i="27"/>
  <c r="M155" i="27" s="1"/>
  <c r="Q154" i="27"/>
  <c r="Z154" i="27" s="1"/>
  <c r="L154" i="27"/>
  <c r="M154" i="27" s="1"/>
  <c r="Q153" i="27"/>
  <c r="Z153" i="27" s="1"/>
  <c r="L153" i="27"/>
  <c r="M153" i="27" s="1"/>
  <c r="Q152" i="27"/>
  <c r="Z152" i="27" s="1"/>
  <c r="L152" i="27"/>
  <c r="M152" i="27" s="1"/>
  <c r="Q151" i="27"/>
  <c r="R151" i="27" s="1"/>
  <c r="L151" i="27"/>
  <c r="M151" i="27" s="1"/>
  <c r="Q150" i="27"/>
  <c r="Z150" i="27" s="1"/>
  <c r="L150" i="27"/>
  <c r="M150" i="27" s="1"/>
  <c r="Q149" i="27"/>
  <c r="Z149" i="27" s="1"/>
  <c r="L149" i="27"/>
  <c r="M149" i="27" s="1"/>
  <c r="Q148" i="27"/>
  <c r="Z148" i="27" s="1"/>
  <c r="L148" i="27"/>
  <c r="M148" i="27" s="1"/>
  <c r="Q147" i="27"/>
  <c r="Z147" i="27" s="1"/>
  <c r="L147" i="27"/>
  <c r="M147" i="27" s="1"/>
  <c r="Q146" i="27"/>
  <c r="Z146" i="27" s="1"/>
  <c r="L146" i="27"/>
  <c r="M146" i="27" s="1"/>
  <c r="Q145" i="27"/>
  <c r="Z145" i="27" s="1"/>
  <c r="L145" i="27"/>
  <c r="M145" i="27" s="1"/>
  <c r="Q144" i="27"/>
  <c r="L144" i="27"/>
  <c r="M144" i="27" s="1"/>
  <c r="Q143" i="27"/>
  <c r="Z143" i="27" s="1"/>
  <c r="L143" i="27"/>
  <c r="M143" i="27" s="1"/>
  <c r="Q142" i="27"/>
  <c r="L142" i="27"/>
  <c r="M142" i="27" s="1"/>
  <c r="Q141" i="27"/>
  <c r="Z141" i="27" s="1"/>
  <c r="L141" i="27"/>
  <c r="M141" i="27" s="1"/>
  <c r="Q140" i="27"/>
  <c r="Z140" i="27" s="1"/>
  <c r="L140" i="27"/>
  <c r="M140" i="27" s="1"/>
  <c r="Q139" i="27"/>
  <c r="Z139" i="27" s="1"/>
  <c r="L139" i="27"/>
  <c r="M139" i="27" s="1"/>
  <c r="Q138" i="27"/>
  <c r="Z138" i="27" s="1"/>
  <c r="L138" i="27"/>
  <c r="M138" i="27" s="1"/>
  <c r="Q137" i="27"/>
  <c r="Z137" i="27" s="1"/>
  <c r="L137" i="27"/>
  <c r="M137" i="27" s="1"/>
  <c r="Q136" i="27"/>
  <c r="Z136" i="27" s="1"/>
  <c r="L136" i="27"/>
  <c r="M136" i="27" s="1"/>
  <c r="Q135" i="27"/>
  <c r="Z135" i="27" s="1"/>
  <c r="L135" i="27"/>
  <c r="M135" i="27" s="1"/>
  <c r="Q134" i="27"/>
  <c r="R134" i="27" s="1"/>
  <c r="L134" i="27"/>
  <c r="M134" i="27" s="1"/>
  <c r="Q133" i="27"/>
  <c r="Z133" i="27" s="1"/>
  <c r="L133" i="27"/>
  <c r="M133" i="27" s="1"/>
  <c r="Q132" i="27"/>
  <c r="Z132" i="27" s="1"/>
  <c r="L132" i="27"/>
  <c r="M132" i="27" s="1"/>
  <c r="Q131" i="27"/>
  <c r="Z131" i="27" s="1"/>
  <c r="L131" i="27"/>
  <c r="M131" i="27" s="1"/>
  <c r="Q130" i="27"/>
  <c r="Z130" i="27" s="1"/>
  <c r="L130" i="27"/>
  <c r="M130" i="27" s="1"/>
  <c r="Q129" i="27"/>
  <c r="Z129" i="27" s="1"/>
  <c r="L129" i="27"/>
  <c r="M129" i="27" s="1"/>
  <c r="Q128" i="27"/>
  <c r="L128" i="27"/>
  <c r="M128" i="27" s="1"/>
  <c r="Q127" i="27"/>
  <c r="Z127" i="27" s="1"/>
  <c r="L127" i="27"/>
  <c r="M127" i="27" s="1"/>
  <c r="Q126" i="27"/>
  <c r="Z126" i="27" s="1"/>
  <c r="L126" i="27"/>
  <c r="M126" i="27" s="1"/>
  <c r="Q125" i="27"/>
  <c r="L125" i="27"/>
  <c r="M125" i="27" s="1"/>
  <c r="Q124" i="27"/>
  <c r="Z124" i="27" s="1"/>
  <c r="L124" i="27"/>
  <c r="M124" i="27" s="1"/>
  <c r="Q123" i="27"/>
  <c r="Z123" i="27" s="1"/>
  <c r="L123" i="27"/>
  <c r="M123" i="27" s="1"/>
  <c r="Q122" i="27"/>
  <c r="Z122" i="27" s="1"/>
  <c r="L122" i="27"/>
  <c r="M122" i="27" s="1"/>
  <c r="Q121" i="27"/>
  <c r="Z121" i="27" s="1"/>
  <c r="L121" i="27"/>
  <c r="M121" i="27" s="1"/>
  <c r="Q120" i="27"/>
  <c r="Z120" i="27" s="1"/>
  <c r="L120" i="27"/>
  <c r="M120" i="27" s="1"/>
  <c r="Q119" i="27"/>
  <c r="Z119" i="27" s="1"/>
  <c r="L119" i="27"/>
  <c r="M119" i="27" s="1"/>
  <c r="Q118" i="27"/>
  <c r="Z118" i="27" s="1"/>
  <c r="L118" i="27"/>
  <c r="M118" i="27" s="1"/>
  <c r="Q117" i="27"/>
  <c r="Z117" i="27" s="1"/>
  <c r="L117" i="27"/>
  <c r="M117" i="27" s="1"/>
  <c r="Q116" i="27"/>
  <c r="Z116" i="27" s="1"/>
  <c r="L116" i="27"/>
  <c r="M116" i="27" s="1"/>
  <c r="Q115" i="27"/>
  <c r="Z115" i="27" s="1"/>
  <c r="L115" i="27"/>
  <c r="M115" i="27" s="1"/>
  <c r="Q114" i="27"/>
  <c r="Z114" i="27" s="1"/>
  <c r="L114" i="27"/>
  <c r="M114" i="27" s="1"/>
  <c r="Q113" i="27"/>
  <c r="Z113" i="27" s="1"/>
  <c r="L113" i="27"/>
  <c r="M113" i="27" s="1"/>
  <c r="Q112" i="27"/>
  <c r="Z112" i="27" s="1"/>
  <c r="L112" i="27"/>
  <c r="M112" i="27" s="1"/>
  <c r="Q111" i="27"/>
  <c r="Z111" i="27" s="1"/>
  <c r="L111" i="27"/>
  <c r="M111" i="27" s="1"/>
  <c r="Q110" i="27"/>
  <c r="Z110" i="27" s="1"/>
  <c r="L110" i="27"/>
  <c r="M110" i="27" s="1"/>
  <c r="Q109" i="27"/>
  <c r="R109" i="27" s="1"/>
  <c r="L109" i="27"/>
  <c r="M109" i="27" s="1"/>
  <c r="Q108" i="27"/>
  <c r="Z108" i="27" s="1"/>
  <c r="L108" i="27"/>
  <c r="M108" i="27" s="1"/>
  <c r="Q107" i="27"/>
  <c r="Z107" i="27" s="1"/>
  <c r="L107" i="27"/>
  <c r="M107" i="27" s="1"/>
  <c r="Q106" i="27"/>
  <c r="R106" i="27" s="1"/>
  <c r="L106" i="27"/>
  <c r="M106" i="27" s="1"/>
  <c r="Q105" i="27"/>
  <c r="Z105" i="27" s="1"/>
  <c r="L105" i="27"/>
  <c r="M105" i="27" s="1"/>
  <c r="Q104" i="27"/>
  <c r="L104" i="27"/>
  <c r="M104" i="27" s="1"/>
  <c r="Q103" i="27"/>
  <c r="R103" i="27" s="1"/>
  <c r="L103" i="27"/>
  <c r="M103" i="27" s="1"/>
  <c r="Q102" i="27"/>
  <c r="L102" i="27"/>
  <c r="M102" i="27" s="1"/>
  <c r="Q101" i="27"/>
  <c r="L101" i="27"/>
  <c r="M101" i="27" s="1"/>
  <c r="Q100" i="27"/>
  <c r="Z100" i="27" s="1"/>
  <c r="L100" i="27"/>
  <c r="M100" i="27" s="1"/>
  <c r="Q99" i="27"/>
  <c r="Z99" i="27" s="1"/>
  <c r="L99" i="27"/>
  <c r="M99" i="27" s="1"/>
  <c r="Q98" i="27"/>
  <c r="Z98" i="27" s="1"/>
  <c r="L98" i="27"/>
  <c r="M98" i="27" s="1"/>
  <c r="Q97" i="27"/>
  <c r="R97" i="27" s="1"/>
  <c r="L97" i="27"/>
  <c r="M97" i="27" s="1"/>
  <c r="Q96" i="27"/>
  <c r="L96" i="27"/>
  <c r="M96" i="27" s="1"/>
  <c r="Q95" i="27"/>
  <c r="Z95" i="27" s="1"/>
  <c r="L95" i="27"/>
  <c r="M95" i="27" s="1"/>
  <c r="Q94" i="27"/>
  <c r="L94" i="27"/>
  <c r="M94" i="27" s="1"/>
  <c r="Q93" i="27"/>
  <c r="Z93" i="27" s="1"/>
  <c r="L93" i="27"/>
  <c r="M93" i="27" s="1"/>
  <c r="Q92" i="27"/>
  <c r="Z92" i="27" s="1"/>
  <c r="L92" i="27"/>
  <c r="M92" i="27" s="1"/>
  <c r="Q91" i="27"/>
  <c r="Z91" i="27" s="1"/>
  <c r="L91" i="27"/>
  <c r="M91" i="27" s="1"/>
  <c r="Q90" i="27"/>
  <c r="Z90" i="27" s="1"/>
  <c r="L90" i="27"/>
  <c r="M90" i="27" s="1"/>
  <c r="Q89" i="27"/>
  <c r="Z89" i="27" s="1"/>
  <c r="L89" i="27"/>
  <c r="M89" i="27" s="1"/>
  <c r="Q88" i="27"/>
  <c r="L88" i="27"/>
  <c r="M88" i="27" s="1"/>
  <c r="Q87" i="27"/>
  <c r="Z87" i="27" s="1"/>
  <c r="L87" i="27"/>
  <c r="M87" i="27" s="1"/>
  <c r="Q86" i="27"/>
  <c r="Z86" i="27" s="1"/>
  <c r="L86" i="27"/>
  <c r="M86" i="27" s="1"/>
  <c r="Q85" i="27"/>
  <c r="Z85" i="27" s="1"/>
  <c r="L85" i="27"/>
  <c r="M85" i="27" s="1"/>
  <c r="Q84" i="27"/>
  <c r="L84" i="27"/>
  <c r="M84" i="27" s="1"/>
  <c r="Q83" i="27"/>
  <c r="Z83" i="27" s="1"/>
  <c r="L83" i="27"/>
  <c r="M83" i="27" s="1"/>
  <c r="Q82" i="27"/>
  <c r="Z82" i="27" s="1"/>
  <c r="L82" i="27"/>
  <c r="M82" i="27" s="1"/>
  <c r="Q81" i="27"/>
  <c r="Z81" i="27" s="1"/>
  <c r="L81" i="27"/>
  <c r="M81" i="27" s="1"/>
  <c r="Q80" i="27"/>
  <c r="L80" i="27"/>
  <c r="M80" i="27" s="1"/>
  <c r="Q79" i="27"/>
  <c r="Z79" i="27" s="1"/>
  <c r="L79" i="27"/>
  <c r="M79" i="27" s="1"/>
  <c r="Q78" i="27"/>
  <c r="Z78" i="27" s="1"/>
  <c r="L78" i="27"/>
  <c r="M78" i="27" s="1"/>
  <c r="Q77" i="27"/>
  <c r="L77" i="27"/>
  <c r="M77" i="27" s="1"/>
  <c r="Q76" i="27"/>
  <c r="Z76" i="27" s="1"/>
  <c r="L76" i="27"/>
  <c r="M76" i="27" s="1"/>
  <c r="Q75" i="27"/>
  <c r="Z75" i="27" s="1"/>
  <c r="L75" i="27"/>
  <c r="M75" i="27" s="1"/>
  <c r="Q74" i="27"/>
  <c r="Z74" i="27" s="1"/>
  <c r="L74" i="27"/>
  <c r="M74" i="27" s="1"/>
  <c r="Q73" i="27"/>
  <c r="Z73" i="27" s="1"/>
  <c r="L73" i="27"/>
  <c r="M73" i="27" s="1"/>
  <c r="Q72" i="27"/>
  <c r="L72" i="27"/>
  <c r="M72" i="27" s="1"/>
  <c r="Q71" i="27"/>
  <c r="Z71" i="27" s="1"/>
  <c r="L71" i="27"/>
  <c r="M71" i="27" s="1"/>
  <c r="Q70" i="27"/>
  <c r="R70" i="27" s="1"/>
  <c r="L70" i="27"/>
  <c r="M70" i="27" s="1"/>
  <c r="Q69" i="27"/>
  <c r="L69" i="27"/>
  <c r="M69" i="27" s="1"/>
  <c r="Q68" i="27"/>
  <c r="L68" i="27"/>
  <c r="M68" i="27" s="1"/>
  <c r="Q67" i="27"/>
  <c r="Z67" i="27" s="1"/>
  <c r="L67" i="27"/>
  <c r="M67" i="27" s="1"/>
  <c r="Q66" i="27"/>
  <c r="R66" i="27" s="1"/>
  <c r="L66" i="27"/>
  <c r="M66" i="27" s="1"/>
  <c r="Q65" i="27"/>
  <c r="Z65" i="27" s="1"/>
  <c r="L65" i="27"/>
  <c r="M65" i="27" s="1"/>
  <c r="Q64" i="27"/>
  <c r="Z64" i="27" s="1"/>
  <c r="L64" i="27"/>
  <c r="M64" i="27" s="1"/>
  <c r="Q63" i="27"/>
  <c r="Z63" i="27" s="1"/>
  <c r="L63" i="27"/>
  <c r="M63" i="27" s="1"/>
  <c r="Q62" i="27"/>
  <c r="L62" i="27"/>
  <c r="M62" i="27" s="1"/>
  <c r="Q61" i="27"/>
  <c r="L61" i="27"/>
  <c r="M61" i="27" s="1"/>
  <c r="Q60" i="27"/>
  <c r="L60" i="27"/>
  <c r="M60" i="27" s="1"/>
  <c r="Q59" i="27"/>
  <c r="Z59" i="27" s="1"/>
  <c r="L59" i="27"/>
  <c r="M59" i="27" s="1"/>
  <c r="Q58" i="27"/>
  <c r="Z58" i="27" s="1"/>
  <c r="L58" i="27"/>
  <c r="M58" i="27" s="1"/>
  <c r="Q57" i="27"/>
  <c r="Z57" i="27" s="1"/>
  <c r="L57" i="27"/>
  <c r="M57" i="27" s="1"/>
  <c r="Q56" i="27"/>
  <c r="L56" i="27"/>
  <c r="M56" i="27" s="1"/>
  <c r="Q55" i="27"/>
  <c r="Z55" i="27" s="1"/>
  <c r="L55" i="27"/>
  <c r="M55" i="27" s="1"/>
  <c r="Q54" i="27"/>
  <c r="L54" i="27"/>
  <c r="M54" i="27" s="1"/>
  <c r="Q53" i="27"/>
  <c r="L53" i="27"/>
  <c r="M53" i="27" s="1"/>
  <c r="Q52" i="27"/>
  <c r="L52" i="27"/>
  <c r="M52" i="27" s="1"/>
  <c r="Q51" i="27"/>
  <c r="Z51" i="27" s="1"/>
  <c r="L51" i="27"/>
  <c r="M51" i="27" s="1"/>
  <c r="Q50" i="27"/>
  <c r="Z50" i="27" s="1"/>
  <c r="L50" i="27"/>
  <c r="M50" i="27" s="1"/>
  <c r="Q49" i="27"/>
  <c r="Z49" i="27" s="1"/>
  <c r="L49" i="27"/>
  <c r="M49" i="27" s="1"/>
  <c r="Q48" i="27"/>
  <c r="L48" i="27"/>
  <c r="M48" i="27" s="1"/>
  <c r="Q47" i="27"/>
  <c r="Z47" i="27" s="1"/>
  <c r="L47" i="27"/>
  <c r="M47" i="27" s="1"/>
  <c r="Q46" i="27"/>
  <c r="L46" i="27"/>
  <c r="M46" i="27" s="1"/>
  <c r="Q45" i="27"/>
  <c r="L45" i="27"/>
  <c r="M45" i="27" s="1"/>
  <c r="Q44" i="27"/>
  <c r="Z44" i="27" s="1"/>
  <c r="L44" i="27"/>
  <c r="M44" i="27" s="1"/>
  <c r="Q43" i="27"/>
  <c r="Z43" i="27" s="1"/>
  <c r="L43" i="27"/>
  <c r="M43" i="27" s="1"/>
  <c r="Q42" i="27"/>
  <c r="Z42" i="27" s="1"/>
  <c r="L42" i="27"/>
  <c r="M42" i="27" s="1"/>
  <c r="Q41" i="27"/>
  <c r="Z41" i="27" s="1"/>
  <c r="L41" i="27"/>
  <c r="M41" i="27" s="1"/>
  <c r="Q40" i="27"/>
  <c r="L40" i="27"/>
  <c r="M40" i="27" s="1"/>
  <c r="Q39" i="27"/>
  <c r="Z39" i="27" s="1"/>
  <c r="L39" i="27"/>
  <c r="M39" i="27" s="1"/>
  <c r="Q38" i="27"/>
  <c r="R38" i="27" s="1"/>
  <c r="L38" i="27"/>
  <c r="M38" i="27" s="1"/>
  <c r="Q37" i="27"/>
  <c r="L37" i="27"/>
  <c r="M37" i="27" s="1"/>
  <c r="Q36" i="27"/>
  <c r="Z36" i="27" s="1"/>
  <c r="L36" i="27"/>
  <c r="M36" i="27" s="1"/>
  <c r="Q35" i="27"/>
  <c r="Z35" i="27" s="1"/>
  <c r="L35" i="27"/>
  <c r="M35" i="27" s="1"/>
  <c r="Q34" i="27"/>
  <c r="Z34" i="27" s="1"/>
  <c r="L34" i="27"/>
  <c r="M34" i="27" s="1"/>
  <c r="Q33" i="27"/>
  <c r="Z33" i="27" s="1"/>
  <c r="L33" i="27"/>
  <c r="M33" i="27" s="1"/>
  <c r="Q32" i="27"/>
  <c r="L32" i="27"/>
  <c r="M32" i="27" s="1"/>
  <c r="Q31" i="27"/>
  <c r="Z31" i="27" s="1"/>
  <c r="L31" i="27"/>
  <c r="M31" i="27" s="1"/>
  <c r="Q30" i="27"/>
  <c r="L30" i="27"/>
  <c r="M30" i="27" s="1"/>
  <c r="Q29" i="27"/>
  <c r="L29" i="27"/>
  <c r="M29" i="27" s="1"/>
  <c r="Q28" i="27"/>
  <c r="L28" i="27"/>
  <c r="M28" i="27" s="1"/>
  <c r="Q27" i="27"/>
  <c r="Z27" i="27" s="1"/>
  <c r="L27" i="27"/>
  <c r="M27" i="27" s="1"/>
  <c r="Q26" i="27"/>
  <c r="Z26" i="27" s="1"/>
  <c r="L26" i="27"/>
  <c r="M26" i="27" s="1"/>
  <c r="Q25" i="27"/>
  <c r="Z25" i="27" s="1"/>
  <c r="L25" i="27"/>
  <c r="M25" i="27" s="1"/>
  <c r="Q24" i="27"/>
  <c r="L24" i="27"/>
  <c r="M24" i="27" s="1"/>
  <c r="Q23" i="27"/>
  <c r="Z23" i="27" s="1"/>
  <c r="L23" i="27"/>
  <c r="M23" i="27" s="1"/>
  <c r="Q22" i="27"/>
  <c r="L22" i="27"/>
  <c r="M22" i="27" s="1"/>
  <c r="Q21" i="27"/>
  <c r="L21" i="27"/>
  <c r="M21" i="27" s="1"/>
  <c r="Q20" i="27"/>
  <c r="Z20" i="27" s="1"/>
  <c r="L20" i="27"/>
  <c r="M20" i="27" s="1"/>
  <c r="Q19" i="27"/>
  <c r="Z19" i="27" s="1"/>
  <c r="L19" i="27"/>
  <c r="M19" i="27" s="1"/>
  <c r="Q18" i="27"/>
  <c r="Z18" i="27" s="1"/>
  <c r="L18" i="27"/>
  <c r="M18" i="27" s="1"/>
  <c r="Q17" i="27"/>
  <c r="R17" i="27" s="1"/>
  <c r="L17" i="27"/>
  <c r="M17" i="27" s="1"/>
  <c r="Q16" i="27"/>
  <c r="L16" i="27"/>
  <c r="M16" i="27" s="1"/>
  <c r="Q15" i="27"/>
  <c r="R15" i="27" s="1"/>
  <c r="L15" i="27"/>
  <c r="M15" i="27" s="1"/>
  <c r="Q14" i="27"/>
  <c r="L14" i="27"/>
  <c r="M14" i="27" s="1"/>
  <c r="Q13" i="27"/>
  <c r="L13" i="27"/>
  <c r="M13" i="27" s="1"/>
  <c r="Q12" i="27"/>
  <c r="L12" i="27"/>
  <c r="M12" i="27" s="1"/>
  <c r="Q11" i="27"/>
  <c r="Z11" i="27" s="1"/>
  <c r="L11" i="27"/>
  <c r="M11" i="27" s="1"/>
  <c r="Q10" i="27"/>
  <c r="Z10" i="27" s="1"/>
  <c r="L10" i="27"/>
  <c r="M10" i="27" s="1"/>
  <c r="Q9" i="27"/>
  <c r="R9" i="27" s="1"/>
  <c r="L9" i="27"/>
  <c r="M9" i="27" s="1"/>
  <c r="Q8" i="27"/>
  <c r="Z8" i="27" s="1"/>
  <c r="L8" i="27"/>
  <c r="M8" i="27" s="1"/>
  <c r="Q7" i="27"/>
  <c r="Z7" i="27" s="1"/>
  <c r="L7" i="27"/>
  <c r="M7" i="27" s="1"/>
  <c r="Q6" i="27"/>
  <c r="R6" i="27" s="1"/>
  <c r="L6" i="27"/>
  <c r="M6" i="27" s="1"/>
  <c r="Q5" i="27"/>
  <c r="Z5" i="27" s="1"/>
  <c r="L5" i="27"/>
  <c r="M5" i="27" s="1"/>
  <c r="Q4" i="27"/>
  <c r="Z4" i="27" s="1"/>
  <c r="L4" i="27"/>
  <c r="M4" i="27" s="1"/>
  <c r="Z180" i="27" l="1"/>
  <c r="AA180" i="27" s="1"/>
  <c r="Z66" i="27"/>
  <c r="AA66" i="27" s="1"/>
  <c r="Z176" i="27"/>
  <c r="Z236" i="27"/>
  <c r="Z172" i="27"/>
  <c r="Z192" i="27"/>
  <c r="Z168" i="27"/>
  <c r="AA168" i="27" s="1"/>
  <c r="Z228" i="27"/>
  <c r="AA228" i="27" s="1"/>
  <c r="Z164" i="27"/>
  <c r="AA164" i="27" s="1"/>
  <c r="Z184" i="27"/>
  <c r="AA184" i="27" s="1"/>
  <c r="Z106" i="27"/>
  <c r="Z16" i="27"/>
  <c r="AA16" i="27" s="1"/>
  <c r="Z32" i="27"/>
  <c r="AA32" i="27" s="1"/>
  <c r="R84" i="27"/>
  <c r="Z84" i="27"/>
  <c r="AA84" i="27" s="1"/>
  <c r="Z24" i="27"/>
  <c r="AA24" i="27" s="1"/>
  <c r="Z40" i="27"/>
  <c r="AA40" i="27" s="1"/>
  <c r="Z56" i="27"/>
  <c r="AA56" i="27" s="1"/>
  <c r="Z72" i="27"/>
  <c r="AA72" i="27" s="1"/>
  <c r="Z88" i="27"/>
  <c r="AA88" i="27" s="1"/>
  <c r="R128" i="27"/>
  <c r="Z128" i="27"/>
  <c r="AA148" i="27"/>
  <c r="R181" i="27"/>
  <c r="Z181" i="27"/>
  <c r="AA181" i="27" s="1"/>
  <c r="R12" i="27"/>
  <c r="Z12" i="27"/>
  <c r="AA12" i="27" s="1"/>
  <c r="Z28" i="27"/>
  <c r="AA28" i="27" s="1"/>
  <c r="R48" i="27"/>
  <c r="Z48" i="27"/>
  <c r="AA48" i="27" s="1"/>
  <c r="Z68" i="27"/>
  <c r="AA68" i="27" s="1"/>
  <c r="Z96" i="27"/>
  <c r="AA96" i="27" s="1"/>
  <c r="R144" i="27"/>
  <c r="Z144" i="27"/>
  <c r="AA144" i="27" s="1"/>
  <c r="AA20" i="27"/>
  <c r="AA44" i="27"/>
  <c r="Z52" i="27"/>
  <c r="AA52" i="27" s="1"/>
  <c r="R104" i="27"/>
  <c r="Z104" i="27"/>
  <c r="AA104" i="27" s="1"/>
  <c r="R165" i="27"/>
  <c r="Z165" i="27"/>
  <c r="AA165" i="27" s="1"/>
  <c r="Z156" i="27"/>
  <c r="AA156" i="27" s="1"/>
  <c r="AA36" i="27"/>
  <c r="Z60" i="27"/>
  <c r="AA60" i="27" s="1"/>
  <c r="Z80" i="27"/>
  <c r="AA80" i="27" s="1"/>
  <c r="AA162" i="27"/>
  <c r="Z218" i="27"/>
  <c r="AA218" i="27" s="1"/>
  <c r="Z97" i="27"/>
  <c r="AA97" i="27" s="1"/>
  <c r="Z17" i="27"/>
  <c r="AA17" i="27" s="1"/>
  <c r="Z9" i="27"/>
  <c r="AA9" i="27" s="1"/>
  <c r="Z226" i="27"/>
  <c r="AA226" i="27" s="1"/>
  <c r="Z162" i="27"/>
  <c r="AA98" i="27"/>
  <c r="Z167" i="27"/>
  <c r="AA167" i="27" s="1"/>
  <c r="Z151" i="27"/>
  <c r="AA151" i="27" s="1"/>
  <c r="Z103" i="27"/>
  <c r="AA103" i="27" s="1"/>
  <c r="Z15" i="27"/>
  <c r="AA15" i="27" s="1"/>
  <c r="Z234" i="27"/>
  <c r="AA234" i="27" s="1"/>
  <c r="AA18" i="27"/>
  <c r="AA26" i="27"/>
  <c r="AA34" i="27"/>
  <c r="AA42" i="27"/>
  <c r="AA50" i="27"/>
  <c r="AA58" i="27"/>
  <c r="AA74" i="27"/>
  <c r="AA90" i="27"/>
  <c r="AA114" i="27"/>
  <c r="AA138" i="27"/>
  <c r="AA195" i="27"/>
  <c r="Z160" i="27"/>
  <c r="AA160" i="27" s="1"/>
  <c r="AA19" i="27"/>
  <c r="AA23" i="27"/>
  <c r="AA27" i="27"/>
  <c r="AA31" i="27"/>
  <c r="AA35" i="27"/>
  <c r="AA39" i="27"/>
  <c r="AA43" i="27"/>
  <c r="AA47" i="27"/>
  <c r="AA51" i="27"/>
  <c r="AA63" i="27"/>
  <c r="AA67" i="27"/>
  <c r="AA71" i="27"/>
  <c r="AA75" i="27"/>
  <c r="AA83" i="27"/>
  <c r="AA95" i="27"/>
  <c r="AA99" i="27"/>
  <c r="AA107" i="27"/>
  <c r="AA119" i="27"/>
  <c r="AA155" i="27"/>
  <c r="Z238" i="27"/>
  <c r="AA238" i="27" s="1"/>
  <c r="Z222" i="27"/>
  <c r="AA222" i="27" s="1"/>
  <c r="Z214" i="27"/>
  <c r="AA214" i="27" s="1"/>
  <c r="Z190" i="27"/>
  <c r="AA190" i="27" s="1"/>
  <c r="Z174" i="27"/>
  <c r="AA174" i="27" s="1"/>
  <c r="Z166" i="27"/>
  <c r="AA166" i="27" s="1"/>
  <c r="Z158" i="27"/>
  <c r="AA158" i="27" s="1"/>
  <c r="Z142" i="27"/>
  <c r="AA142" i="27" s="1"/>
  <c r="Z134" i="27"/>
  <c r="AA134" i="27" s="1"/>
  <c r="Z102" i="27"/>
  <c r="AA102" i="27" s="1"/>
  <c r="Z94" i="27"/>
  <c r="AA94" i="27" s="1"/>
  <c r="Z70" i="27"/>
  <c r="AA70" i="27" s="1"/>
  <c r="Z62" i="27"/>
  <c r="AA62" i="27" s="1"/>
  <c r="Z54" i="27"/>
  <c r="AA54" i="27" s="1"/>
  <c r="Z46" i="27"/>
  <c r="AA46" i="27" s="1"/>
  <c r="Z38" i="27"/>
  <c r="AA38" i="27" s="1"/>
  <c r="Z30" i="27"/>
  <c r="AA30" i="27" s="1"/>
  <c r="Z22" i="27"/>
  <c r="AA22" i="27" s="1"/>
  <c r="Z14" i="27"/>
  <c r="AA14" i="27" s="1"/>
  <c r="Z6" i="27"/>
  <c r="AA6" i="27" s="1"/>
  <c r="Z125" i="27"/>
  <c r="AA125" i="27" s="1"/>
  <c r="Z109" i="27"/>
  <c r="AA109" i="27" s="1"/>
  <c r="Z101" i="27"/>
  <c r="AA101" i="27" s="1"/>
  <c r="Z77" i="27"/>
  <c r="AA77" i="27" s="1"/>
  <c r="Z69" i="27"/>
  <c r="AA69" i="27" s="1"/>
  <c r="Z61" i="27"/>
  <c r="AA61" i="27" s="1"/>
  <c r="Z53" i="27"/>
  <c r="AA53" i="27" s="1"/>
  <c r="Z45" i="27"/>
  <c r="AA45" i="27" s="1"/>
  <c r="Z37" i="27"/>
  <c r="AA37" i="27" s="1"/>
  <c r="Z29" i="27"/>
  <c r="AA29" i="27" s="1"/>
  <c r="Z21" i="27"/>
  <c r="AA21" i="27" s="1"/>
  <c r="Z13" i="27"/>
  <c r="AA13" i="27" s="1"/>
  <c r="AA25" i="27"/>
  <c r="AA33" i="27"/>
  <c r="AA41" i="27"/>
  <c r="AA49" i="27"/>
  <c r="AA57" i="27"/>
  <c r="AA73" i="27"/>
  <c r="AA81" i="27"/>
  <c r="AA105" i="27"/>
  <c r="AA212" i="27"/>
  <c r="AA220" i="27"/>
  <c r="AA4" i="27"/>
  <c r="AA236" i="27"/>
  <c r="AA210" i="27"/>
  <c r="AA204" i="27"/>
  <c r="AA198" i="27"/>
  <c r="AA202" i="27"/>
  <c r="AA206" i="27"/>
  <c r="AA7" i="27"/>
  <c r="R7" i="27"/>
  <c r="AA11" i="27"/>
  <c r="R11" i="27"/>
  <c r="AA8" i="27"/>
  <c r="R8" i="27"/>
  <c r="AA10" i="27"/>
  <c r="R10" i="27"/>
  <c r="AA5" i="27"/>
  <c r="R5" i="27"/>
  <c r="R19" i="27"/>
  <c r="R80" i="27"/>
  <c r="R52" i="27"/>
  <c r="R138" i="27"/>
  <c r="R214" i="27"/>
  <c r="R56" i="27"/>
  <c r="R148" i="27"/>
  <c r="R42" i="27"/>
  <c r="R37" i="27"/>
  <c r="R58" i="27"/>
  <c r="R125" i="27"/>
  <c r="R13" i="27"/>
  <c r="R27" i="27"/>
  <c r="R47" i="27"/>
  <c r="R71" i="27"/>
  <c r="R77" i="27"/>
  <c r="R94" i="27"/>
  <c r="R198" i="27"/>
  <c r="R88" i="27"/>
  <c r="R22" i="27"/>
  <c r="R51" i="27"/>
  <c r="R63" i="27"/>
  <c r="R81" i="27"/>
  <c r="R95" i="27"/>
  <c r="R96" i="27"/>
  <c r="AA128" i="27"/>
  <c r="R155" i="27"/>
  <c r="R158" i="27"/>
  <c r="R206" i="27"/>
  <c r="R26" i="27"/>
  <c r="R31" i="27"/>
  <c r="R40" i="27"/>
  <c r="R60" i="27"/>
  <c r="R90" i="27"/>
  <c r="R204" i="27"/>
  <c r="AA78" i="27"/>
  <c r="R78" i="27"/>
  <c r="AA87" i="27"/>
  <c r="R87" i="27"/>
  <c r="AA115" i="27"/>
  <c r="R115" i="27"/>
  <c r="R25" i="27"/>
  <c r="R36" i="27"/>
  <c r="R46" i="27"/>
  <c r="AA59" i="27"/>
  <c r="R59" i="27"/>
  <c r="R74" i="27"/>
  <c r="R75" i="27"/>
  <c r="R83" i="27"/>
  <c r="R145" i="27"/>
  <c r="AA145" i="27"/>
  <c r="R170" i="27"/>
  <c r="AA170" i="27"/>
  <c r="R21" i="27"/>
  <c r="R30" i="27"/>
  <c r="R33" i="27"/>
  <c r="R50" i="27"/>
  <c r="R53" i="27"/>
  <c r="R57" i="27"/>
  <c r="R73" i="27"/>
  <c r="AA93" i="27"/>
  <c r="R93" i="27"/>
  <c r="AA132" i="27"/>
  <c r="R132" i="27"/>
  <c r="R139" i="27"/>
  <c r="AA139" i="27"/>
  <c r="AA161" i="27"/>
  <c r="R161" i="27"/>
  <c r="R220" i="27"/>
  <c r="AA64" i="27"/>
  <c r="R64" i="27"/>
  <c r="R35" i="27"/>
  <c r="R41" i="27"/>
  <c r="R45" i="27"/>
  <c r="R62" i="27"/>
  <c r="AA127" i="27"/>
  <c r="R127" i="27"/>
  <c r="R178" i="27"/>
  <c r="AA178" i="27"/>
  <c r="R212" i="27"/>
  <c r="R32" i="27"/>
  <c r="AA55" i="27"/>
  <c r="R55" i="27"/>
  <c r="AA65" i="27"/>
  <c r="R65" i="27"/>
  <c r="R100" i="27"/>
  <c r="AA100" i="27"/>
  <c r="R122" i="27"/>
  <c r="AA122" i="27"/>
  <c r="AA136" i="27"/>
  <c r="R136" i="27"/>
  <c r="AA149" i="27"/>
  <c r="R149" i="27"/>
  <c r="R183" i="27"/>
  <c r="AA183" i="27"/>
  <c r="R188" i="27"/>
  <c r="AA188" i="27"/>
  <c r="R230" i="27"/>
  <c r="AA230" i="27"/>
  <c r="R190" i="27"/>
  <c r="R195" i="27"/>
  <c r="R202" i="27"/>
  <c r="R210" i="27"/>
  <c r="R218" i="27"/>
  <c r="R226" i="27"/>
  <c r="AA76" i="27"/>
  <c r="R76" i="27"/>
  <c r="AA85" i="27"/>
  <c r="R85" i="27"/>
  <c r="AA89" i="27"/>
  <c r="R89" i="27"/>
  <c r="AA129" i="27"/>
  <c r="R129" i="27"/>
  <c r="AA153" i="27"/>
  <c r="R153" i="27"/>
  <c r="R18" i="27"/>
  <c r="R4" i="27"/>
  <c r="R16" i="27"/>
  <c r="R23" i="27"/>
  <c r="R24" i="27"/>
  <c r="R28" i="27"/>
  <c r="R29" i="27"/>
  <c r="R34" i="27"/>
  <c r="R39" i="27"/>
  <c r="R43" i="27"/>
  <c r="R44" i="27"/>
  <c r="R49" i="27"/>
  <c r="R54" i="27"/>
  <c r="R61" i="27"/>
  <c r="R67" i="27"/>
  <c r="R68" i="27"/>
  <c r="R69" i="27"/>
  <c r="R72" i="27"/>
  <c r="AA79" i="27"/>
  <c r="R79" i="27"/>
  <c r="AA82" i="27"/>
  <c r="R82" i="27"/>
  <c r="AA91" i="27"/>
  <c r="R91" i="27"/>
  <c r="AA141" i="27"/>
  <c r="R141" i="27"/>
  <c r="AA86" i="27"/>
  <c r="R86" i="27"/>
  <c r="AA92" i="27"/>
  <c r="R92" i="27"/>
  <c r="AA194" i="27"/>
  <c r="R194" i="27"/>
  <c r="AA200" i="27"/>
  <c r="R200" i="27"/>
  <c r="AA208" i="27"/>
  <c r="R208" i="27"/>
  <c r="AA216" i="27"/>
  <c r="R216" i="27"/>
  <c r="AA224" i="27"/>
  <c r="R224" i="27"/>
  <c r="R240" i="27"/>
  <c r="AA240" i="27"/>
  <c r="AA112" i="27"/>
  <c r="R112" i="27"/>
  <c r="R114" i="27"/>
  <c r="R119" i="27"/>
  <c r="AA124" i="27"/>
  <c r="R124" i="27"/>
  <c r="AA135" i="27"/>
  <c r="R135" i="27"/>
  <c r="R142" i="27"/>
  <c r="AA147" i="27"/>
  <c r="R147" i="27"/>
  <c r="R232" i="27"/>
  <c r="AA232" i="27"/>
  <c r="R14" i="27"/>
  <c r="R20" i="27"/>
  <c r="R98" i="27"/>
  <c r="R101" i="27"/>
  <c r="AA108" i="27"/>
  <c r="R108" i="27"/>
  <c r="AA157" i="27"/>
  <c r="R157" i="27"/>
  <c r="R169" i="27"/>
  <c r="AA169" i="27"/>
  <c r="R193" i="27"/>
  <c r="AA193" i="27"/>
  <c r="R99" i="27"/>
  <c r="R102" i="27"/>
  <c r="R105" i="27"/>
  <c r="R162" i="27"/>
  <c r="AA172" i="27"/>
  <c r="AA176" i="27"/>
  <c r="AA173" i="27"/>
  <c r="R173" i="27"/>
  <c r="AA177" i="27"/>
  <c r="R177" i="27"/>
  <c r="AA186" i="27"/>
  <c r="R186" i="27"/>
  <c r="R189" i="27"/>
  <c r="AA189" i="27"/>
  <c r="AA106" i="27"/>
  <c r="R107" i="27"/>
  <c r="R159" i="27"/>
  <c r="AA159" i="27"/>
  <c r="AA163" i="27"/>
  <c r="R163" i="27"/>
  <c r="AA171" i="27"/>
  <c r="R171" i="27"/>
  <c r="AA175" i="27"/>
  <c r="R175" i="27"/>
  <c r="AA179" i="27"/>
  <c r="R179" i="27"/>
  <c r="AA182" i="27"/>
  <c r="R182" i="27"/>
  <c r="AA185" i="27"/>
  <c r="R185" i="27"/>
  <c r="AA187" i="27"/>
  <c r="R187" i="27"/>
  <c r="AA110" i="27"/>
  <c r="R110" i="27"/>
  <c r="AA111" i="27"/>
  <c r="R111" i="27"/>
  <c r="AA113" i="27"/>
  <c r="R113" i="27"/>
  <c r="AA116" i="27"/>
  <c r="R116" i="27"/>
  <c r="AA117" i="27"/>
  <c r="R117" i="27"/>
  <c r="AA118" i="27"/>
  <c r="R118" i="27"/>
  <c r="AA120" i="27"/>
  <c r="R120" i="27"/>
  <c r="AA121" i="27"/>
  <c r="R121" i="27"/>
  <c r="AA123" i="27"/>
  <c r="R123" i="27"/>
  <c r="AA126" i="27"/>
  <c r="R126" i="27"/>
  <c r="AA130" i="27"/>
  <c r="R130" i="27"/>
  <c r="AA131" i="27"/>
  <c r="R131" i="27"/>
  <c r="AA133" i="27"/>
  <c r="R133" i="27"/>
  <c r="AA137" i="27"/>
  <c r="R137" i="27"/>
  <c r="AA140" i="27"/>
  <c r="R140" i="27"/>
  <c r="AA143" i="27"/>
  <c r="R143" i="27"/>
  <c r="AA146" i="27"/>
  <c r="R146" i="27"/>
  <c r="AA150" i="27"/>
  <c r="R150" i="27"/>
  <c r="AA152" i="27"/>
  <c r="R152" i="27"/>
  <c r="AA154" i="27"/>
  <c r="R154" i="27"/>
  <c r="AA235" i="27"/>
  <c r="R235" i="27"/>
  <c r="AA191" i="27"/>
  <c r="R191" i="27"/>
  <c r="AA196" i="27"/>
  <c r="R196" i="27"/>
  <c r="AA197" i="27"/>
  <c r="R197" i="27"/>
  <c r="AA229" i="27"/>
  <c r="R229" i="27"/>
  <c r="AA237" i="27"/>
  <c r="R237" i="27"/>
  <c r="AA192" i="27"/>
  <c r="AA231" i="27"/>
  <c r="R231" i="27"/>
  <c r="AA239" i="27"/>
  <c r="R239" i="27"/>
  <c r="AA199" i="27"/>
  <c r="R199" i="27"/>
  <c r="AA201" i="27"/>
  <c r="R201" i="27"/>
  <c r="AA203" i="27"/>
  <c r="R203" i="27"/>
  <c r="AA205" i="27"/>
  <c r="R205" i="27"/>
  <c r="AA207" i="27"/>
  <c r="R207" i="27"/>
  <c r="AA209" i="27"/>
  <c r="R209" i="27"/>
  <c r="AA211" i="27"/>
  <c r="R211" i="27"/>
  <c r="AA213" i="27"/>
  <c r="R213" i="27"/>
  <c r="AA215" i="27"/>
  <c r="R215" i="27"/>
  <c r="AA217" i="27"/>
  <c r="R217" i="27"/>
  <c r="AA219" i="27"/>
  <c r="R219" i="27"/>
  <c r="AA221" i="27"/>
  <c r="R221" i="27"/>
  <c r="AA223" i="27"/>
  <c r="R223" i="27"/>
  <c r="AA225" i="27"/>
  <c r="R225" i="27"/>
  <c r="AA227" i="27"/>
  <c r="R227" i="27"/>
  <c r="AA233" i="27"/>
  <c r="R233" i="27"/>
  <c r="AA241" i="27"/>
  <c r="R241" i="27"/>
  <c r="E33" i="21" l="1"/>
  <c r="E32" i="21"/>
  <c r="E29" i="21"/>
  <c r="E28" i="21"/>
  <c r="E27" i="21"/>
  <c r="E26" i="21"/>
  <c r="E25" i="21"/>
  <c r="E24" i="21"/>
  <c r="E23" i="21"/>
  <c r="E22" i="21"/>
  <c r="E21" i="21"/>
  <c r="E20" i="21"/>
  <c r="E19" i="21"/>
  <c r="E18" i="21"/>
  <c r="E17" i="21"/>
  <c r="E16" i="21"/>
  <c r="E15" i="21"/>
  <c r="E14" i="21"/>
  <c r="E13" i="21"/>
  <c r="E12" i="21"/>
  <c r="E11" i="21"/>
  <c r="E10" i="21"/>
  <c r="E9" i="21"/>
  <c r="E8" i="21"/>
  <c r="E7" i="21"/>
  <c r="E6" i="21"/>
</calcChain>
</file>

<file path=xl/sharedStrings.xml><?xml version="1.0" encoding="utf-8"?>
<sst xmlns="http://schemas.openxmlformats.org/spreadsheetml/2006/main" count="2412" uniqueCount="429">
  <si>
    <t>Ref.</t>
  </si>
  <si>
    <t>Threat</t>
  </si>
  <si>
    <t>Vulnerabilities</t>
  </si>
  <si>
    <t>Likelihood</t>
  </si>
  <si>
    <t>Impact</t>
  </si>
  <si>
    <t>Description</t>
  </si>
  <si>
    <t>High</t>
  </si>
  <si>
    <t>Risk Score</t>
  </si>
  <si>
    <t>Risk Level</t>
  </si>
  <si>
    <t>Post-treatment Likelihood</t>
  </si>
  <si>
    <t>Post-treatment Impact</t>
  </si>
  <si>
    <t>Post-treatment Risk Level</t>
  </si>
  <si>
    <t>Item</t>
  </si>
  <si>
    <t>Document Title:</t>
  </si>
  <si>
    <t>Document ID:</t>
  </si>
  <si>
    <t>Classification:</t>
  </si>
  <si>
    <t>Version No.:</t>
  </si>
  <si>
    <t>Status:</t>
  </si>
  <si>
    <t>Publish Date:</t>
  </si>
  <si>
    <t>Revision Date:</t>
  </si>
  <si>
    <t>Document Review and Approval History</t>
  </si>
  <si>
    <t>(All revisions should be approved)</t>
  </si>
  <si>
    <t>Version No.</t>
  </si>
  <si>
    <t>Date</t>
  </si>
  <si>
    <t>Reviewer(s)</t>
  </si>
  <si>
    <t>Remarks</t>
  </si>
  <si>
    <t>Approver(s)</t>
  </si>
  <si>
    <t>Risk Treatment</t>
  </si>
  <si>
    <t>Risk Avoidance</t>
  </si>
  <si>
    <t>Risk Assessment Matrix</t>
  </si>
  <si>
    <t>Likelihood / Probability</t>
  </si>
  <si>
    <t>Ranking</t>
  </si>
  <si>
    <t>Weight</t>
  </si>
  <si>
    <t>Low</t>
  </si>
  <si>
    <t>Consequences/Impact</t>
  </si>
  <si>
    <t>Asset Value</t>
  </si>
  <si>
    <t>Asset Name</t>
  </si>
  <si>
    <t>Risk Identification</t>
  </si>
  <si>
    <t>Satisfactory Treatment</t>
  </si>
  <si>
    <t>Review due date</t>
  </si>
  <si>
    <t>Residual Risk</t>
  </si>
  <si>
    <t>Risk Monitor and Review</t>
  </si>
  <si>
    <t>Unauthorized access to / deletion / modification  etc.</t>
  </si>
  <si>
    <t>Risk Acceptance Criteria</t>
  </si>
  <si>
    <t>Range</t>
  </si>
  <si>
    <t>Acceptance</t>
  </si>
  <si>
    <t>Medium</t>
  </si>
  <si>
    <r>
      <t xml:space="preserve">Confidential                  </t>
    </r>
    <r>
      <rPr>
        <b/>
        <u/>
        <sz val="10"/>
        <rFont val="Trebuchet MS"/>
        <family val="2"/>
      </rPr>
      <t xml:space="preserve"> Restricted </t>
    </r>
    <r>
      <rPr>
        <sz val="10"/>
        <rFont val="Trebuchet MS"/>
        <family val="2"/>
      </rPr>
      <t xml:space="preserve">      Internal              Public</t>
    </r>
  </si>
  <si>
    <t>VDB</t>
  </si>
  <si>
    <t>UNISONDB-LIVE</t>
  </si>
  <si>
    <t>UNISONAPP-LIVE</t>
  </si>
  <si>
    <t>Unison CRM</t>
  </si>
  <si>
    <t>UBPS-NEW</t>
  </si>
  <si>
    <t>T24DB02-KR</t>
  </si>
  <si>
    <t>T24DB02</t>
  </si>
  <si>
    <t>T24DB01-KR</t>
  </si>
  <si>
    <t>T24DB01</t>
  </si>
  <si>
    <t>T24 WAS</t>
  </si>
  <si>
    <t>T24 MQ</t>
  </si>
  <si>
    <t>T24 APPS</t>
  </si>
  <si>
    <t>PRISM</t>
  </si>
  <si>
    <t>Oracle Discoverer</t>
  </si>
  <si>
    <t>OBDX-OHS2-UPG</t>
  </si>
  <si>
    <t>OBDX-OHS1-UPG</t>
  </si>
  <si>
    <t>OBDX-DB-UPG</t>
  </si>
  <si>
    <t>OBDX-APP2-UPG</t>
  </si>
  <si>
    <t>OBDX-APP1-UPG</t>
  </si>
  <si>
    <t>OAM-WEB-PROD2</t>
  </si>
  <si>
    <t>OAM-WEB-PROD1</t>
  </si>
  <si>
    <t>OAM-DB-UPG-PROD</t>
  </si>
  <si>
    <t>MQ-VMX</t>
  </si>
  <si>
    <t>Jasper Server</t>
  </si>
  <si>
    <t>I-Suite</t>
  </si>
  <si>
    <t>IRIS Web</t>
  </si>
  <si>
    <t>IRIS DB</t>
  </si>
  <si>
    <t>IRIS Core</t>
  </si>
  <si>
    <t>IntelliMatch ETL</t>
  </si>
  <si>
    <t>IntelliMatch Database</t>
  </si>
  <si>
    <t>ILS PROD-NEW</t>
  </si>
  <si>
    <t>ILS PROD-DB-NEW</t>
  </si>
  <si>
    <t>FCCM-ODI-PROD</t>
  </si>
  <si>
    <t>FCCM-DB-PROD</t>
  </si>
  <si>
    <t>FCCM-APP-PROD</t>
  </si>
  <si>
    <t>EMV RTDP</t>
  </si>
  <si>
    <t>EMV KMS server</t>
  </si>
  <si>
    <t>EMV Database</t>
  </si>
  <si>
    <t>EMV Central Base</t>
  </si>
  <si>
    <t>EFS DB</t>
  </si>
  <si>
    <t>EFS APP-2</t>
  </si>
  <si>
    <t>EFS APP</t>
  </si>
  <si>
    <t>Connect Direct</t>
  </si>
  <si>
    <t>CMS-NEW DB</t>
  </si>
  <si>
    <t>BSDIAPP-SRV2</t>
  </si>
  <si>
    <t>Alerts System</t>
  </si>
  <si>
    <t>ADCWEB02</t>
  </si>
  <si>
    <t>ADCWEB01</t>
  </si>
  <si>
    <t>BLB-PROXY-PROD</t>
  </si>
  <si>
    <t>BLB-MOBI1-PROD</t>
  </si>
  <si>
    <t>BLB-FINJ-APP2-PROD</t>
  </si>
  <si>
    <t>BLB-FINJ-APP1-PROD</t>
  </si>
  <si>
    <t>ASD-HOST-PROD</t>
  </si>
  <si>
    <t>ASD-HOST-IRIS-PROD</t>
  </si>
  <si>
    <t>Nexus 5K</t>
  </si>
  <si>
    <t>Cisco 6513 (VSS)</t>
  </si>
  <si>
    <t>Internet Switch</t>
  </si>
  <si>
    <t>10.20.1.37</t>
  </si>
  <si>
    <t>192.168.250.206</t>
  </si>
  <si>
    <t>10.133.16.4</t>
  </si>
  <si>
    <t>10.224.10.36</t>
  </si>
  <si>
    <t>10.133.1.34</t>
  </si>
  <si>
    <t>10.133.1.81</t>
  </si>
  <si>
    <t>10.133.1.82</t>
  </si>
  <si>
    <t>10.133.1.83</t>
  </si>
  <si>
    <t>10.133.1.84</t>
  </si>
  <si>
    <t>10.133.1.85</t>
  </si>
  <si>
    <t>10.133.1.86</t>
  </si>
  <si>
    <t>10.133.1.77</t>
  </si>
  <si>
    <t>10.133.1.78</t>
  </si>
  <si>
    <t>10.133.1.75</t>
  </si>
  <si>
    <t>10.133.1.76</t>
  </si>
  <si>
    <t>10.133.1.101</t>
  </si>
  <si>
    <t>10.133.1.102</t>
  </si>
  <si>
    <t>10.133.1.103</t>
  </si>
  <si>
    <t>10.133.1.104</t>
  </si>
  <si>
    <t>10.133.1.105</t>
  </si>
  <si>
    <t>10.133.1.106</t>
  </si>
  <si>
    <t>10.133.1.107</t>
  </si>
  <si>
    <t>10.133.1.108</t>
  </si>
  <si>
    <t>10.133.1.116</t>
  </si>
  <si>
    <t>10.133.1.117</t>
  </si>
  <si>
    <t>10.133.1.125</t>
  </si>
  <si>
    <t>10.133.1.126</t>
  </si>
  <si>
    <t>192.168.50.12</t>
  </si>
  <si>
    <t>10.133.253.24</t>
  </si>
  <si>
    <t>192.168.249.6</t>
  </si>
  <si>
    <t>10.133.40.12</t>
  </si>
  <si>
    <t>192.168.249.5</t>
  </si>
  <si>
    <t>10.133.253.22</t>
  </si>
  <si>
    <t>192.168.50.29</t>
  </si>
  <si>
    <t>10.128.2.30</t>
  </si>
  <si>
    <t>10.10.82</t>
  </si>
  <si>
    <t>10.1.0.3</t>
  </si>
  <si>
    <t>10.224.1.118</t>
  </si>
  <si>
    <t>10.128.1.198</t>
  </si>
  <si>
    <t>10.128.1.197</t>
  </si>
  <si>
    <t>10.128.1.196</t>
  </si>
  <si>
    <t>10.133.11.5</t>
  </si>
  <si>
    <t>10.133.253.28</t>
  </si>
  <si>
    <t>10.224.1.124</t>
  </si>
  <si>
    <t>10.224.1.123</t>
  </si>
  <si>
    <t>192.168.50.19</t>
  </si>
  <si>
    <t>10.133.40.7</t>
  </si>
  <si>
    <t>10.20.0.233</t>
  </si>
  <si>
    <t>10.20.0.232</t>
  </si>
  <si>
    <t>10.20.1.38</t>
  </si>
  <si>
    <t>10.133.1.136</t>
  </si>
  <si>
    <t>10.133.1.135</t>
  </si>
  <si>
    <t>10.133.39.147</t>
  </si>
  <si>
    <t>10.133.39.148</t>
  </si>
  <si>
    <t xml:space="preserve">10.133.39.149 </t>
  </si>
  <si>
    <t>Risk Treatment option</t>
  </si>
  <si>
    <t>Mitigating Action Controls</t>
  </si>
  <si>
    <t>Vulnerability assessment is performed annually for detecting and mitigating vulnerabilities.</t>
  </si>
  <si>
    <t>IP Addresses</t>
  </si>
  <si>
    <t>Risk Transfer</t>
  </si>
  <si>
    <t>Genesys MCP 1 Primary</t>
  </si>
  <si>
    <t>Genesys MCP 1 Primary HA</t>
  </si>
  <si>
    <t>Genesys MCP 2 Primary</t>
  </si>
  <si>
    <t>Genesys MCP 2 Primary HA</t>
  </si>
  <si>
    <t>Genesys Database</t>
  </si>
  <si>
    <t>Genesys MCP 1 Secondary</t>
  </si>
  <si>
    <t>Genesys MCP 1 Secondary HA</t>
  </si>
  <si>
    <t>Genesys MCP 2 Secondary</t>
  </si>
  <si>
    <t>Genesys MCP 2 Secondary HA</t>
  </si>
  <si>
    <t>IBM ESB</t>
  </si>
  <si>
    <t>IBM ESB -2</t>
  </si>
  <si>
    <t>OAM-App 1</t>
  </si>
  <si>
    <t>OAM-App 2</t>
  </si>
  <si>
    <t>BLB-SMP-DB-PROD(Exa-data)</t>
  </si>
  <si>
    <t>Identify ( Biometric ATM NCR)</t>
  </si>
  <si>
    <t>Identify ( Biometric ATM NCR-DB)</t>
  </si>
  <si>
    <t>INTELLIVIEW-PROD</t>
  </si>
  <si>
    <t>VERICENTERLE-DB-PROD</t>
  </si>
  <si>
    <t>Transliteration App</t>
  </si>
  <si>
    <t>Transliteration DB</t>
  </si>
  <si>
    <t>AMA (Asan Mobile Account)</t>
  </si>
  <si>
    <t>192.168.52.8</t>
  </si>
  <si>
    <t>192.168.52.9</t>
  </si>
  <si>
    <t>192.168.52.10</t>
  </si>
  <si>
    <t>192.168.52.11</t>
  </si>
  <si>
    <t>10.133.42.211</t>
  </si>
  <si>
    <t>192.168.86.135</t>
  </si>
  <si>
    <t>192.168.86.136</t>
  </si>
  <si>
    <t>192.168.86.138</t>
  </si>
  <si>
    <t>10.133.40.6</t>
  </si>
  <si>
    <t>10.133.9.21</t>
  </si>
  <si>
    <t>10.133.253.22
(new IP is 10.133.253.176)</t>
  </si>
  <si>
    <t>10.133.40.147</t>
  </si>
  <si>
    <t>10.133.40.148</t>
  </si>
  <si>
    <t>10.133.41.35</t>
  </si>
  <si>
    <t>10.133.41.51</t>
  </si>
  <si>
    <t>10.133.39.138</t>
  </si>
  <si>
    <t>10.133.39.150</t>
  </si>
  <si>
    <t>Failure of security controls, Exploitation of vulnerabilities</t>
  </si>
  <si>
    <t>Lack of periodic reviews of logical access</t>
  </si>
  <si>
    <t>No procedure is defined for performing control testing for all the existing security controls</t>
  </si>
  <si>
    <t>No advanced attack prevention such as traffic flow analysis, threat hunting and attack simulation</t>
  </si>
  <si>
    <t>10.20.0.161 </t>
  </si>
  <si>
    <t>Vulnerable to insider threats</t>
  </si>
  <si>
    <t>No procedure is defined for Incident response and digital forensics  investigation team</t>
  </si>
  <si>
    <t>Unauthorized access to / deletion / modification  etc.</t>
  </si>
  <si>
    <t>Exploitation of known and unknown vulnerabilities</t>
  </si>
  <si>
    <t xml:space="preserve">- Procedures must be formally defined for control testing to test the effectiveness of security controls
- Control testing must be performed for security controls like IDS (detecting exploits), DLP (detecting PII), Password auditing (brute forcing) Firewall egress (auditing ports), Phishing (Technical controls + employees awareness) and other security controls
</t>
  </si>
  <si>
    <t>It is recommended to ensure that all applications relevant to payment card are being proactively monitored on SIEM.
Further review of systems must be performed quarterly to identify and mitigate any potential risks.</t>
  </si>
  <si>
    <t>Malware/Malicious program ( virus,Worm,Trojan)</t>
  </si>
  <si>
    <t>Vulnerable against zero day attack</t>
  </si>
  <si>
    <t>System Penetration/Exploitation of known and unknown vulnerabilities</t>
  </si>
  <si>
    <t>Lack of system hardening</t>
  </si>
  <si>
    <t>Risk of Natural disaster that ends up in non-functionality of server</t>
  </si>
  <si>
    <t>Natural disaster</t>
  </si>
  <si>
    <t xml:space="preserve">Incomplete tracking of changes </t>
  </si>
  <si>
    <t>All the applications/systems/network changes are not properly tracked.</t>
  </si>
  <si>
    <t xml:space="preserve">•  Implement hardening to all systems as per global practice.
• Perform quarterly testing to identify any change in hardening best practice.
• Ensure that change management should not affect or open any critical vulnerability which me lead the device vulnerable for exploitation.
</t>
  </si>
  <si>
    <t>All the applications/systems/network  must be managed automatically.</t>
  </si>
  <si>
    <t>Catalyst 9300</t>
  </si>
  <si>
    <t>10.225.25.100</t>
  </si>
  <si>
    <t>Malware/Malicious program (Virus,Torjan,Worm)</t>
  </si>
  <si>
    <t>Cisco 2951</t>
  </si>
  <si>
    <t>10.128.100.35</t>
  </si>
  <si>
    <t>Inadequate settings can lead to exploitation of vulnerabilites</t>
  </si>
  <si>
    <t>Configuration review is not adeqaute</t>
  </si>
  <si>
    <t>ASA 5525-x</t>
  </si>
  <si>
    <t>10.41.254.1</t>
  </si>
  <si>
    <t>Cisco 1941</t>
  </si>
  <si>
    <t>10.225.1.137</t>
  </si>
  <si>
    <t>Cisco 892</t>
  </si>
  <si>
    <t>10.128.100.42</t>
  </si>
  <si>
    <t>Cisco ASR 1004</t>
  </si>
  <si>
    <t>10.128.100.57</t>
  </si>
  <si>
    <t>10.128.100.58</t>
  </si>
  <si>
    <t>Cisco 9300</t>
  </si>
  <si>
    <t>10.225.1.132</t>
  </si>
  <si>
    <t>ASA 5555-x</t>
  </si>
  <si>
    <t>Nexus 7010</t>
  </si>
  <si>
    <t>10.128.100.12</t>
  </si>
  <si>
    <t>MPX 8005</t>
  </si>
  <si>
    <t>10.128.100.31</t>
  </si>
  <si>
    <t>RTR-3925-01</t>
  </si>
  <si>
    <t>10.128.100.39</t>
  </si>
  <si>
    <t>KR-FMC-2600</t>
  </si>
  <si>
    <t>10.128.100.25</t>
  </si>
  <si>
    <t>KR-ISE-SNS-3515-02</t>
  </si>
  <si>
    <t>10.128.60.4</t>
  </si>
  <si>
    <t>ASA 5585-x (Con-A)</t>
  </si>
  <si>
    <t>10.225.1.2</t>
  </si>
  <si>
    <t>ASA 5585-x (Con-B)</t>
  </si>
  <si>
    <t>10.225.1.10</t>
  </si>
  <si>
    <t>Nexus 7706</t>
  </si>
  <si>
    <t>10.133.50.41</t>
  </si>
  <si>
    <t>Nexus 7707</t>
  </si>
  <si>
    <t>10.133.50.42</t>
  </si>
  <si>
    <t xml:space="preserve">Cisco 1921  </t>
  </si>
  <si>
    <t>10.21.254.84</t>
  </si>
  <si>
    <t>Cisco 4351</t>
  </si>
  <si>
    <t>10.133.50.51</t>
  </si>
  <si>
    <t>10.133.50.52</t>
  </si>
  <si>
    <t>10.133.50.29</t>
  </si>
  <si>
    <t>10.21.254.10</t>
  </si>
  <si>
    <t>10.133.37.1</t>
  </si>
  <si>
    <t>FPR-4120-02</t>
  </si>
  <si>
    <t>10.133.50.4</t>
  </si>
  <si>
    <t>Cisco 4451</t>
  </si>
  <si>
    <t>10.133.50.57</t>
  </si>
  <si>
    <t>10.133.50.58</t>
  </si>
  <si>
    <t>Catalyst 2960-X</t>
  </si>
  <si>
    <t>10.133.50.35</t>
  </si>
  <si>
    <t>FPR-2120</t>
  </si>
  <si>
    <t>10.21.254.19</t>
  </si>
  <si>
    <t>ASA 5585-x</t>
  </si>
  <si>
    <t>10.133.50.59</t>
  </si>
  <si>
    <t>10.133.50.19</t>
  </si>
  <si>
    <t>KT-B2B-VPN5525-X</t>
  </si>
  <si>
    <t>10.133.50.34</t>
  </si>
  <si>
    <t>KT-FMC-2600</t>
  </si>
  <si>
    <t>10.133.50.33</t>
  </si>
  <si>
    <t>KT-FMC-1000</t>
  </si>
  <si>
    <t>10.133.50.24</t>
  </si>
  <si>
    <t>10.133.50.55</t>
  </si>
  <si>
    <t>KT-MPG-1111-02</t>
  </si>
  <si>
    <t>KT-VRG-1111-01</t>
  </si>
  <si>
    <t>10.133.50.18</t>
  </si>
  <si>
    <t>CGH</t>
  </si>
  <si>
    <t>Tahir Khan</t>
  </si>
  <si>
    <t>Umair Khan</t>
  </si>
  <si>
    <t>Salman Malik</t>
  </si>
  <si>
    <t>Hussain Ali</t>
  </si>
  <si>
    <t>Mansoor Ur Rahman</t>
  </si>
  <si>
    <t>Umer Viqar</t>
  </si>
  <si>
    <t>Zulfiqar Anwar</t>
  </si>
  <si>
    <t>BCP/DR Controls are in place</t>
  </si>
  <si>
    <t>Undetectable malicious activity</t>
  </si>
  <si>
    <t>FPR-4120-01</t>
  </si>
  <si>
    <t>FPR-4120-03</t>
  </si>
  <si>
    <t>FPR-4120-04</t>
  </si>
  <si>
    <t>FPR-4120-05</t>
  </si>
  <si>
    <t>FPR-4120-06</t>
  </si>
  <si>
    <t>FPR-4120-08</t>
  </si>
  <si>
    <t>10.133.50.3</t>
  </si>
  <si>
    <t>Cisco-TG</t>
  </si>
  <si>
    <t>10.133.50.23</t>
  </si>
  <si>
    <t>It should not be possible to install rogue software. (Both with and without physical access should be considered.) 
Existing process can be enhanced by reviewing and updating it.</t>
  </si>
  <si>
    <t>IDS
IPS
Ciso threat Intelligence
Firewall</t>
  </si>
  <si>
    <t xml:space="preserve">Process must be established which  can ensure to perform traffic flow analysis, threat hunting and attack simulation for detecting and preventing advance persistent threat (APT) attacks </t>
  </si>
  <si>
    <t>Incident response process exist.</t>
  </si>
  <si>
    <t>There must be a dedicated resource for Incident response and digital forensics  with the required skillset and expertise.</t>
  </si>
  <si>
    <t>Change management process is inplace.</t>
  </si>
  <si>
    <t xml:space="preserve">• HIPS
• IDS/IPS
• SIEM
• Information Security Awareness Program
• FIM
• Monitoring
</t>
  </si>
  <si>
    <t>Tahir Ikram</t>
  </si>
  <si>
    <t>Mitigation</t>
  </si>
  <si>
    <t xml:space="preserve">ABL Data Center Network Devices (Kashmir Road) </t>
  </si>
  <si>
    <t xml:space="preserve">ABL Data Center Network Devices (Kalma Tower) </t>
  </si>
  <si>
    <t>ABL PCI DSS Servers Inventory</t>
  </si>
  <si>
    <t>Campus Switch</t>
  </si>
  <si>
    <t>Internet Router</t>
  </si>
  <si>
    <t>Nexus 7k</t>
  </si>
  <si>
    <t>Internet Firewall</t>
  </si>
  <si>
    <t>FDI-AT-1921</t>
  </si>
  <si>
    <t>FDI--LHR</t>
  </si>
  <si>
    <t>1-Link-AT-892</t>
  </si>
  <si>
    <t>1 Link-LHR</t>
  </si>
  <si>
    <t>FDI--UK</t>
  </si>
  <si>
    <t>HOL-VPN-Aggregation</t>
  </si>
  <si>
    <t>KT~KR Replication</t>
  </si>
  <si>
    <t>Core Firewall</t>
  </si>
  <si>
    <t>KR~KT Replication</t>
  </si>
  <si>
    <t>VPN Firewall</t>
  </si>
  <si>
    <t>Core FPR</t>
  </si>
  <si>
    <t>VPN Aggregation Router</t>
  </si>
  <si>
    <t>Nexus-7K</t>
  </si>
  <si>
    <t>NetScalar Load Balancer</t>
  </si>
  <si>
    <t>KR-B2B-RTR</t>
  </si>
  <si>
    <t>KR-B2B-SW</t>
  </si>
  <si>
    <t>Cisco Threat-Grid</t>
  </si>
  <si>
    <t>KR-B2B-FTD</t>
  </si>
  <si>
    <t>KT-B2B-RTR</t>
  </si>
  <si>
    <t>KR-FMC-INT</t>
  </si>
  <si>
    <t>KT-B2B-SW</t>
  </si>
  <si>
    <t>KR-ISE</t>
  </si>
  <si>
    <t>KT-B2B-FTD</t>
  </si>
  <si>
    <t>KR-MPG-SBP-RTR-01</t>
  </si>
  <si>
    <t>KT-FMC-INT</t>
  </si>
  <si>
    <t>KR-VRG-RTR-01</t>
  </si>
  <si>
    <t>KT-FMC-Core</t>
  </si>
  <si>
    <t>KT-ISE</t>
  </si>
  <si>
    <t>KT-MPG-SBP-RTR-01</t>
  </si>
  <si>
    <t>KT-MPG-SBP-RTR-02</t>
  </si>
  <si>
    <t>KT-VRG-RTR-01</t>
  </si>
  <si>
    <t>BLB-MOBI2-PROD</t>
  </si>
  <si>
    <t>Vision Plus Server 1</t>
  </si>
  <si>
    <t>Vision Plus Server 2</t>
  </si>
  <si>
    <t>Rare</t>
  </si>
  <si>
    <t xml:space="preserve">• Privileged access would be required to exploit the vulnerability
• Expert level knowledge would be required of systems processes
• Adequate level of controls is present to prevent the threat from exploiting the vulnerability
</t>
  </si>
  <si>
    <t>Possible</t>
  </si>
  <si>
    <t xml:space="preserve">Possible • Internal (End) user access would be required to exploit the vulnerability
• Intermediate level of knowledge would be required of systems / processes
• Certain weakness in controls might be present which may be circumvented, resulting in threat exploiting the vulnerability
</t>
  </si>
  <si>
    <t>Likely</t>
  </si>
  <si>
    <t xml:space="preserve">• No specific access would be required to exploit the vulnerability
• Information of exploitation is widely known and does not require know-how of systems / processes
• Major control weakness exists, which does not prevent threats from exploiting the vulnerability
</t>
  </si>
  <si>
    <t xml:space="preserve">Medium </t>
  </si>
  <si>
    <t xml:space="preserve">The loss of confidentiality, integrity, or availability might cause the following:
• Degradation in mission capability to an extent and duration that the ABL is able to perform its primary functions, but the effectiveness of the functions is noticeably reduced; 
• Minor damage to bank assets;
• Minor financial loss;
• Minor harm to individuals.
</t>
  </si>
  <si>
    <t xml:space="preserve">The loss of confidentiality, integrity, or availability might cause the following:
• Significant degradation in mission capability to an extent and duration that the ABL is able to perform its primary functions, but the effectiveness of the functions is significantly reduced; 
• Significant damage to bank assets;
• Significant financial loss;
• Significant harm to individuals that does not involve loss of life or serious life-threatening injuries.
</t>
  </si>
  <si>
    <t xml:space="preserve">The loss of confidentiality, integrity, or availability might cause the following:
• Severe degradation in or loss of mission capability to an extent and duration that the bank is not able to perform one or more of its primary functions;
• Result in major damage to bank assets
• Result in major financial loss;
• Result in severe or catastrophic harm to individuals involving loss of life or serious life-threatening injuries.
</t>
  </si>
  <si>
    <t>Business Justification</t>
  </si>
  <si>
    <t>Action Plan</t>
  </si>
  <si>
    <t>Responsibility</t>
  </si>
  <si>
    <t>Implementation Date</t>
  </si>
  <si>
    <t>Availability</t>
  </si>
  <si>
    <t>Intigrity</t>
  </si>
  <si>
    <t>Confidentiality</t>
  </si>
  <si>
    <t>Gaps</t>
  </si>
  <si>
    <t>Recommendations</t>
  </si>
  <si>
    <t>Nature of update</t>
  </si>
  <si>
    <t>Gaps and Recommendations</t>
  </si>
  <si>
    <t>Risk Treatment Pan</t>
  </si>
  <si>
    <t>In the absence of tracking of changes, any unauthorized change may impact confidentiality, integrity and availability of information.</t>
  </si>
  <si>
    <t>In the absence of control testing program, the Entity may not be able to test the effectiveness of existing security controls.</t>
  </si>
  <si>
    <t>The entity will not be able to detect any malicious user activity. Further unauthorized access and privileges cannot be identified.</t>
  </si>
  <si>
    <t>During our review, it was observed that policy is defined for access right review.</t>
  </si>
  <si>
    <t>Hardening is performed based on the need basis; furthermore, Vulnerability assessment is performed for detecting and mitigating vulnerabilities.</t>
  </si>
  <si>
    <t>In the absence of system hardening the Entity will not be able to fix vulnerabilities</t>
  </si>
  <si>
    <t>The entity will not be able to continue their business operations; as a result availability of information can be compromised.</t>
  </si>
  <si>
    <t xml:space="preserve">Exising process must be updated and reviewed.
</t>
  </si>
  <si>
    <t>Due to inadequate protection from malware, the Entity may not be able to detect and prevent the execution of malwares.</t>
  </si>
  <si>
    <t>In the absence of insecure coding practices, the Entity may not be able to identify and mitigate potential vulnerabilities.</t>
  </si>
  <si>
    <t>Secure code analysis must be performed by the Information Security team 
Automated tool can be deployed for performing code analysis</t>
  </si>
  <si>
    <t xml:space="preserve">In the absence of digital forensics and incident response process, entity will be unable to detect malicious activity
</t>
  </si>
  <si>
    <t>In absence of advanced attack prevention tool, the entity may not be able to detect and prevent advance persistent (APT) attacks; as a result, the confidentiality, integrity and availability of information can be compromised.</t>
  </si>
  <si>
    <t xml:space="preserve">Employees awareness training.
Partial control testing for IDS (detecting exploits), DLP (detecting PII), Password auditing (brute forcing) and Firewall egress testing (auditing ports)
</t>
  </si>
  <si>
    <t>0.0.1</t>
  </si>
  <si>
    <t>Overall risk based on the asset value, impact and likelihood ratings</t>
  </si>
  <si>
    <t>Risk Modification</t>
  </si>
  <si>
    <t>Risk Retention</t>
  </si>
  <si>
    <t>The level of risk should be managed by introducing, removing or altering controls so that the residual risk can be reassessed as being acceptable.</t>
  </si>
  <si>
    <t>The decision on retaining the risk without further action should be taken depending on the risk evaluation criteria.</t>
  </si>
  <si>
    <t>The activity or condition that gives rise to a risk that outweighs the benefit being realized, should be avoided.</t>
  </si>
  <si>
    <t>The risk should be shared with another party that can most effectively manage the particular risk depending on risk evaluation.</t>
  </si>
  <si>
    <t>Can be accepted based on the management’s decisions</t>
  </si>
  <si>
    <t>Shall be mitigated to an acceptable level by implementing preventive or detective controls</t>
  </si>
  <si>
    <t>Will not be tolerated and should be addressed by applying mitigating controls to reduce the risk to Low</t>
  </si>
  <si>
    <t>42-81</t>
  </si>
  <si>
    <t>21-40</t>
  </si>
  <si>
    <t>1-20</t>
  </si>
  <si>
    <t>Existing controls &amp; Residual Risk</t>
  </si>
  <si>
    <t>Risk Analysis and Evaluation</t>
  </si>
  <si>
    <t>symantac &amp; Trendmicro deep security endpoint protection  from malware, the Entity may be able to detect and prevent the execution of malwares.</t>
  </si>
  <si>
    <t>Advanced protection &amp; prevention such as traffic flow analysis, threat hunting and attack simulation</t>
  </si>
  <si>
    <t>Periodic reviews of logical access as per policy quarterly have been processed.</t>
  </si>
  <si>
    <t>Secure code analysis is performed on need basis.</t>
  </si>
  <si>
    <t>Lack of regular review of source code analysis</t>
  </si>
  <si>
    <t>In the absence of regular review of coding practices, the Entity may not be able to identify and mitigate potential vulnerabilities.</t>
  </si>
  <si>
    <t>Secure code analysis must be performed by the Information Security team on regular basis.
Automated tool can be deployed for performing code analysis</t>
  </si>
  <si>
    <t>All the applications/systems/network change can be managed automatically.</t>
  </si>
  <si>
    <t>In the absence of tracking of changes, any unauthorized change may impact confidentiality, and integrity of information.</t>
  </si>
  <si>
    <t xml:space="preserve">Change management process is inplace. </t>
  </si>
  <si>
    <t>The Entity must perform hardening on regular basis to fix vulnerabilities</t>
  </si>
  <si>
    <t xml:space="preserve">•  Implement hardening to all systems as per global practice.
• Perform quarterly testing to identify any change in hardening best practice.
</t>
  </si>
  <si>
    <t>In the absence of formal control testing program, the Entity may not be able to test the effectiveness of existing security controls.</t>
  </si>
  <si>
    <t>Final</t>
  </si>
  <si>
    <t>0.0.2</t>
  </si>
  <si>
    <t>PCI DSS Risk Assessment and Treatment v0.0.2</t>
  </si>
  <si>
    <t xml:space="preserve">
Propagation of malwares
Phishing attacks
Failure of security controls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</si>
</sst>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Calibri"/>
      <family val="2"/>
      <scheme val="minor"/>
    </font>
    <font>
      <sz val="10"/>
      <color theme="1"/>
      <name val="Arial"/>
      <family val="2"/>
    </font>
    <font>
      <b/>
      <sz val="10"/>
      <name val="Arial"/>
      <family val="2"/>
    </font>
    <font>
      <sz val="10"/>
      <name val="Arial"/>
      <family val="2"/>
    </font>
    <font>
      <b/>
      <sz val="10"/>
      <color theme="0"/>
      <name val="Arial"/>
      <family val="2"/>
    </font>
    <font>
      <sz val="10"/>
      <name val="Trebuchet MS"/>
      <family val="2"/>
    </font>
    <font>
      <b/>
      <u/>
      <sz val="10"/>
      <name val="Trebuchet MS"/>
      <family val="2"/>
    </font>
    <font>
      <b/>
      <sz val="12"/>
      <name val="Trebuchet MS"/>
      <family val="2"/>
    </font>
    <font>
      <b/>
      <sz val="11"/>
      <color theme="0"/>
      <name val="Arial"/>
      <family val="2"/>
    </font>
    <font>
      <b/>
      <sz val="10"/>
      <color rgb="FFFFFF00"/>
      <name val="Arial"/>
      <family val="2"/>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theme="1"/>
      <name val="Calibri"/>
      <family val="2"/>
      <scheme val="minor"/>
    </font>
    <font>
      <sz val="11"/>
      <name val="Calibri"/>
      <family val="2"/>
      <scheme val="minor"/>
    </font>
    <font>
      <sz val="11"/>
      <color rgb="FF000000"/>
      <name val="Arial"/>
      <family val="2"/>
    </font>
    <font>
      <sz val="11"/>
      <name val="Arial"/>
      <family val="2"/>
    </font>
    <font>
      <sz val="11"/>
      <color theme="1"/>
      <name val="Arial"/>
      <family val="2"/>
    </font>
    <font>
      <sz val="11"/>
      <color rgb="FF000000"/>
      <name val="Calibri"/>
      <family val="2"/>
    </font>
    <font>
      <b/>
      <sz val="11"/>
      <color theme="1"/>
      <name val="Arial"/>
      <family val="2"/>
    </font>
  </fonts>
  <fills count="4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rgb="FF00B0F0"/>
        <bgColor indexed="64"/>
      </patternFill>
    </fill>
    <fill>
      <patternFill patternType="solid">
        <fgColor theme="4"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3" fillId="0" borderId="0"/>
    <xf numFmtId="0" fontId="12" fillId="0" borderId="0" applyNumberFormat="0" applyFill="0" applyBorder="0" applyAlignment="0" applyProtection="0"/>
    <xf numFmtId="0" fontId="13" fillId="0" borderId="7" applyNumberFormat="0" applyFill="0" applyAlignment="0" applyProtection="0"/>
    <xf numFmtId="0" fontId="14" fillId="0" borderId="8" applyNumberFormat="0" applyFill="0" applyAlignment="0" applyProtection="0"/>
    <xf numFmtId="0" fontId="15" fillId="0" borderId="9" applyNumberFormat="0" applyFill="0" applyAlignment="0" applyProtection="0"/>
    <xf numFmtId="0" fontId="15" fillId="0" borderId="0" applyNumberFormat="0" applyFill="0" applyBorder="0" applyAlignment="0" applyProtection="0"/>
    <xf numFmtId="0" fontId="16" fillId="11" borderId="0" applyNumberFormat="0" applyBorder="0" applyAlignment="0" applyProtection="0"/>
    <xf numFmtId="0" fontId="17" fillId="12" borderId="0" applyNumberFormat="0" applyBorder="0" applyAlignment="0" applyProtection="0"/>
    <xf numFmtId="0" fontId="18" fillId="13" borderId="0" applyNumberFormat="0" applyBorder="0" applyAlignment="0" applyProtection="0"/>
    <xf numFmtId="0" fontId="19" fillId="14" borderId="10" applyNumberFormat="0" applyAlignment="0" applyProtection="0"/>
    <xf numFmtId="0" fontId="20" fillId="15" borderId="11" applyNumberFormat="0" applyAlignment="0" applyProtection="0"/>
    <xf numFmtId="0" fontId="21" fillId="15" borderId="10" applyNumberFormat="0" applyAlignment="0" applyProtection="0"/>
    <xf numFmtId="0" fontId="22" fillId="0" borderId="12" applyNumberFormat="0" applyFill="0" applyAlignment="0" applyProtection="0"/>
    <xf numFmtId="0" fontId="23" fillId="16" borderId="13" applyNumberFormat="0" applyAlignment="0" applyProtection="0"/>
    <xf numFmtId="0" fontId="24" fillId="0" borderId="0" applyNumberFormat="0" applyFill="0" applyBorder="0" applyAlignment="0" applyProtection="0"/>
    <xf numFmtId="0" fontId="11" fillId="17" borderId="14" applyNumberFormat="0" applyFont="0" applyAlignment="0" applyProtection="0"/>
    <xf numFmtId="0" fontId="25" fillId="0" borderId="0" applyNumberFormat="0" applyFill="0" applyBorder="0" applyAlignment="0" applyProtection="0"/>
    <xf numFmtId="0" fontId="10" fillId="0" borderId="15" applyNumberFormat="0" applyFill="0" applyAlignment="0" applyProtection="0"/>
    <xf numFmtId="0" fontId="26"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11" fillId="39" borderId="0" applyNumberFormat="0" applyBorder="0" applyAlignment="0" applyProtection="0"/>
    <xf numFmtId="0" fontId="11" fillId="40" borderId="0" applyNumberFormat="0" applyBorder="0" applyAlignment="0" applyProtection="0"/>
    <xf numFmtId="0" fontId="26" fillId="41" borderId="0" applyNumberFormat="0" applyBorder="0" applyAlignment="0" applyProtection="0"/>
    <xf numFmtId="0" fontId="3" fillId="0" borderId="0"/>
    <xf numFmtId="0" fontId="3" fillId="0" borderId="0"/>
  </cellStyleXfs>
  <cellXfs count="122">
    <xf numFmtId="0" fontId="0" fillId="0" borderId="0" xfId="0"/>
    <xf numFmtId="0" fontId="4" fillId="4" borderId="1" xfId="0" applyFont="1" applyFill="1" applyBorder="1" applyAlignment="1">
      <alignment horizontal="center" vertical="top" wrapText="1"/>
    </xf>
    <xf numFmtId="0" fontId="7" fillId="0" borderId="0" xfId="0" applyFont="1" applyAlignment="1">
      <alignment horizontal="left" vertical="top"/>
    </xf>
    <xf numFmtId="0" fontId="0" fillId="0" borderId="0" xfId="0" applyAlignment="1">
      <alignment horizontal="left" vertical="top"/>
    </xf>
    <xf numFmtId="0" fontId="5" fillId="0" borderId="0" xfId="0" applyFont="1" applyAlignment="1">
      <alignment horizontal="left" vertical="top"/>
    </xf>
    <xf numFmtId="0" fontId="4" fillId="4" borderId="3" xfId="0" applyFont="1" applyFill="1" applyBorder="1" applyAlignment="1">
      <alignment horizontal="center" vertical="top" wrapText="1"/>
    </xf>
    <xf numFmtId="164" fontId="5" fillId="0" borderId="1" xfId="0" applyNumberFormat="1" applyFont="1" applyBorder="1" applyAlignment="1">
      <alignment horizontal="center" vertical="top" wrapText="1"/>
    </xf>
    <xf numFmtId="14"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0" xfId="0" applyFont="1" applyBorder="1" applyAlignment="1">
      <alignment horizontal="left" vertical="top"/>
    </xf>
    <xf numFmtId="0" fontId="1" fillId="0" borderId="0" xfId="0" applyFont="1" applyBorder="1"/>
    <xf numFmtId="0" fontId="1" fillId="0" borderId="0" xfId="0" applyFont="1"/>
    <xf numFmtId="0" fontId="9" fillId="2" borderId="0" xfId="0" applyFont="1" applyFill="1" applyBorder="1" applyAlignment="1"/>
    <xf numFmtId="0" fontId="4" fillId="2" borderId="0" xfId="0" applyFont="1" applyFill="1" applyBorder="1"/>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xf>
    <xf numFmtId="0" fontId="0" fillId="2" borderId="1" xfId="0" applyFill="1" applyBorder="1"/>
    <xf numFmtId="0" fontId="0" fillId="0" borderId="1" xfId="0" applyBorder="1" applyAlignment="1">
      <alignment horizontal="center" vertical="center"/>
    </xf>
    <xf numFmtId="0" fontId="0" fillId="2" borderId="1" xfId="0" applyFill="1" applyBorder="1" applyAlignment="1">
      <alignment horizontal="center"/>
    </xf>
    <xf numFmtId="0" fontId="0" fillId="0" borderId="0" xfId="0"/>
    <xf numFmtId="0" fontId="28" fillId="2" borderId="1" xfId="1" applyFont="1" applyFill="1" applyBorder="1" applyAlignment="1">
      <alignment horizontal="center" vertical="center"/>
    </xf>
    <xf numFmtId="0" fontId="0" fillId="2" borderId="1" xfId="0" applyFill="1" applyBorder="1" applyAlignment="1">
      <alignment horizontal="center" vertical="center"/>
    </xf>
    <xf numFmtId="0" fontId="1" fillId="8" borderId="1" xfId="0" applyFont="1" applyFill="1" applyBorder="1" applyAlignment="1">
      <alignment horizontal="center" vertical="center" wrapText="1"/>
    </xf>
    <xf numFmtId="0" fontId="1" fillId="0" borderId="1" xfId="0" applyFont="1" applyBorder="1" applyAlignment="1">
      <alignment horizontal="justify" vertical="top" wrapText="1"/>
    </xf>
    <xf numFmtId="0" fontId="1" fillId="9"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xf>
    <xf numFmtId="0" fontId="29" fillId="0" borderId="1" xfId="0" applyFont="1" applyBorder="1" applyAlignment="1">
      <alignment horizontal="center" vertical="center"/>
    </xf>
    <xf numFmtId="0" fontId="30" fillId="2"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31" fillId="2"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31" fillId="2" borderId="1" xfId="0" applyFont="1" applyFill="1" applyBorder="1" applyAlignment="1">
      <alignment horizontal="center" vertical="center"/>
    </xf>
    <xf numFmtId="0" fontId="30" fillId="0" borderId="1" xfId="0" applyFont="1" applyFill="1" applyBorder="1" applyAlignment="1">
      <alignment horizontal="center" vertical="center"/>
    </xf>
    <xf numFmtId="0" fontId="30" fillId="2" borderId="1" xfId="0" applyFont="1" applyFill="1" applyBorder="1" applyAlignment="1">
      <alignment horizontal="center" vertical="center" wrapText="1"/>
    </xf>
    <xf numFmtId="0" fontId="31" fillId="0"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31" fillId="3" borderId="1" xfId="0" applyFont="1" applyFill="1" applyBorder="1" applyAlignment="1" applyProtection="1">
      <alignment horizontal="center" vertical="center" wrapText="1"/>
      <protection locked="0"/>
    </xf>
    <xf numFmtId="0" fontId="31" fillId="3" borderId="1" xfId="0"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0" fontId="31" fillId="0" borderId="1" xfId="0" applyFont="1" applyBorder="1" applyAlignment="1" applyProtection="1">
      <alignment horizontal="center" vertical="center" wrapText="1"/>
      <protection locked="0"/>
    </xf>
    <xf numFmtId="0" fontId="31" fillId="0" borderId="1" xfId="0" applyFont="1" applyBorder="1" applyAlignment="1" applyProtection="1">
      <alignment horizontal="center" vertical="center"/>
      <protection locked="0"/>
    </xf>
    <xf numFmtId="15" fontId="31" fillId="2" borderId="1" xfId="0" applyNumberFormat="1" applyFont="1" applyFill="1" applyBorder="1" applyAlignment="1">
      <alignment horizontal="center" vertical="center" wrapText="1"/>
    </xf>
    <xf numFmtId="0" fontId="29" fillId="0" borderId="1" xfId="0" applyFont="1" applyBorder="1" applyAlignment="1">
      <alignment horizontal="left" vertical="center" wrapText="1"/>
    </xf>
    <xf numFmtId="0" fontId="29" fillId="2" borderId="1" xfId="0" applyFont="1" applyFill="1" applyBorder="1" applyAlignment="1">
      <alignment horizontal="center" vertical="center" wrapText="1"/>
    </xf>
    <xf numFmtId="0" fontId="31" fillId="2" borderId="1" xfId="0" applyFont="1" applyFill="1" applyBorder="1" applyAlignment="1" applyProtection="1">
      <alignment horizontal="center" vertical="center" wrapText="1"/>
      <protection locked="0"/>
    </xf>
    <xf numFmtId="0" fontId="31" fillId="5" borderId="1" xfId="0" applyNumberFormat="1" applyFont="1" applyFill="1" applyBorder="1" applyAlignment="1">
      <alignment horizontal="center" vertical="center" wrapText="1"/>
    </xf>
    <xf numFmtId="0" fontId="31" fillId="7" borderId="1" xfId="0" applyNumberFormat="1" applyFont="1" applyFill="1" applyBorder="1" applyAlignment="1">
      <alignment horizontal="center" vertical="center" wrapText="1"/>
    </xf>
    <xf numFmtId="0" fontId="31" fillId="9" borderId="1" xfId="0" applyNumberFormat="1" applyFont="1" applyFill="1" applyBorder="1" applyAlignment="1">
      <alignment horizontal="center" vertical="center" wrapText="1"/>
    </xf>
    <xf numFmtId="0" fontId="1" fillId="0" borderId="1" xfId="0" applyFont="1" applyBorder="1" applyAlignment="1" applyProtection="1">
      <alignment vertical="center" wrapText="1"/>
      <protection locked="0"/>
    </xf>
    <xf numFmtId="0" fontId="29" fillId="0" borderId="1" xfId="0" applyFont="1" applyFill="1" applyBorder="1" applyAlignment="1">
      <alignment horizontal="center" vertical="center" wrapText="1"/>
    </xf>
    <xf numFmtId="0" fontId="0" fillId="0" borderId="0" xfId="0" applyAlignment="1">
      <alignment horizontal="center" vertical="center"/>
    </xf>
    <xf numFmtId="0" fontId="4" fillId="4" borderId="1" xfId="0" applyFont="1" applyFill="1" applyBorder="1" applyAlignment="1">
      <alignment horizontal="center" vertical="center"/>
    </xf>
    <xf numFmtId="0" fontId="32" fillId="0" borderId="1" xfId="0" applyFont="1" applyBorder="1" applyAlignment="1">
      <alignment vertical="center"/>
    </xf>
    <xf numFmtId="0" fontId="32" fillId="2" borderId="1" xfId="0" applyFont="1" applyFill="1" applyBorder="1" applyAlignment="1">
      <alignment vertical="center"/>
    </xf>
    <xf numFmtId="0" fontId="0" fillId="2" borderId="1" xfId="0" applyFill="1" applyBorder="1" applyAlignment="1">
      <alignment horizontal="left"/>
    </xf>
    <xf numFmtId="0" fontId="0" fillId="0" borderId="1" xfId="0" applyBorder="1" applyAlignment="1">
      <alignment vertical="center"/>
    </xf>
    <xf numFmtId="0" fontId="0" fillId="0" borderId="1" xfId="0" applyBorder="1" applyAlignment="1">
      <alignment horizontal="left" vertical="top"/>
    </xf>
    <xf numFmtId="0" fontId="4" fillId="4" borderId="0" xfId="0" applyFont="1" applyFill="1" applyAlignment="1">
      <alignment horizontal="center"/>
    </xf>
    <xf numFmtId="49" fontId="4" fillId="4" borderId="1" xfId="0" applyNumberFormat="1" applyFont="1" applyFill="1" applyBorder="1" applyAlignment="1">
      <alignment horizontal="justify" vertical="center" wrapText="1"/>
    </xf>
    <xf numFmtId="0" fontId="1" fillId="0" borderId="1" xfId="0" applyFont="1" applyBorder="1" applyAlignment="1">
      <alignment horizontal="justify" vertical="center" wrapText="1"/>
    </xf>
    <xf numFmtId="0" fontId="0" fillId="0" borderId="1" xfId="0" applyBorder="1" applyAlignment="1">
      <alignment horizontal="right" vertical="center"/>
    </xf>
    <xf numFmtId="0" fontId="33" fillId="0" borderId="1" xfId="0" applyFont="1" applyBorder="1"/>
    <xf numFmtId="0" fontId="8" fillId="2" borderId="0" xfId="0" applyFont="1" applyFill="1" applyAlignment="1"/>
    <xf numFmtId="0" fontId="31" fillId="7" borderId="1" xfId="0" applyFont="1" applyFill="1" applyBorder="1" applyAlignment="1" applyProtection="1">
      <alignment horizontal="center" vertical="center" wrapText="1"/>
      <protection locked="0"/>
    </xf>
    <xf numFmtId="0" fontId="1" fillId="7" borderId="1" xfId="0" applyFont="1" applyFill="1" applyBorder="1" applyAlignment="1">
      <alignment horizontal="center" vertical="center"/>
    </xf>
    <xf numFmtId="0" fontId="1" fillId="0" borderId="1" xfId="0" applyFont="1" applyBorder="1" applyAlignment="1" applyProtection="1">
      <alignment horizontal="left" vertical="center" wrapText="1"/>
      <protection locked="0"/>
    </xf>
    <xf numFmtId="0" fontId="31" fillId="0" borderId="1" xfId="0" applyFont="1" applyBorder="1" applyAlignment="1" applyProtection="1">
      <alignment horizontal="left" vertical="center" wrapText="1"/>
      <protection locked="0"/>
    </xf>
    <xf numFmtId="49" fontId="1" fillId="0" borderId="2" xfId="0" applyNumberFormat="1" applyFont="1" applyBorder="1" applyAlignment="1" applyProtection="1">
      <alignment vertical="center" wrapText="1"/>
      <protection locked="0"/>
    </xf>
    <xf numFmtId="0" fontId="31" fillId="0" borderId="1" xfId="0" applyFont="1" applyBorder="1" applyAlignment="1">
      <alignment vertical="center" wrapText="1"/>
    </xf>
    <xf numFmtId="49" fontId="1" fillId="0" borderId="1" xfId="0" applyNumberFormat="1" applyFont="1" applyBorder="1" applyAlignment="1" applyProtection="1">
      <alignment vertical="center" wrapText="1"/>
      <protection locked="0"/>
    </xf>
    <xf numFmtId="0" fontId="31" fillId="0" borderId="1" xfId="0" applyFont="1" applyBorder="1" applyAlignment="1" applyProtection="1">
      <alignment vertical="center" wrapText="1"/>
      <protection locked="0"/>
    </xf>
    <xf numFmtId="0" fontId="31" fillId="7" borderId="1" xfId="0" applyFont="1" applyFill="1" applyBorder="1" applyAlignment="1" applyProtection="1">
      <alignment vertical="center" wrapText="1"/>
      <protection locked="0"/>
    </xf>
    <xf numFmtId="49" fontId="1" fillId="0" borderId="1" xfId="0" applyNumberFormat="1" applyFont="1" applyBorder="1" applyAlignment="1">
      <alignment horizontal="left" vertical="center" wrapText="1"/>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14" fontId="5"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0" fontId="0" fillId="0" borderId="0" xfId="0" applyAlignment="1">
      <alignment horizontal="center"/>
    </xf>
    <xf numFmtId="0" fontId="4" fillId="4" borderId="3" xfId="0" applyFont="1" applyFill="1" applyBorder="1" applyAlignment="1">
      <alignment horizontal="center" vertical="top" wrapText="1"/>
    </xf>
    <xf numFmtId="0" fontId="4" fillId="4" borderId="6" xfId="0" applyFont="1" applyFill="1" applyBorder="1" applyAlignment="1">
      <alignment horizontal="center" vertical="top" wrapText="1"/>
    </xf>
    <xf numFmtId="0" fontId="4" fillId="4" borderId="4" xfId="0" applyFont="1" applyFill="1" applyBorder="1" applyAlignment="1">
      <alignment horizontal="center" vertical="top" wrapText="1"/>
    </xf>
    <xf numFmtId="164" fontId="5" fillId="0" borderId="1" xfId="0" applyNumberFormat="1" applyFont="1" applyBorder="1" applyAlignment="1">
      <alignment horizontal="left" vertical="top" wrapText="1"/>
    </xf>
    <xf numFmtId="0" fontId="5" fillId="0" borderId="3" xfId="0" applyFont="1" applyBorder="1" applyAlignment="1">
      <alignment horizontal="left" vertical="top" wrapText="1"/>
    </xf>
    <xf numFmtId="0" fontId="5" fillId="0" borderId="6" xfId="0" applyFont="1" applyBorder="1" applyAlignment="1">
      <alignment horizontal="left" vertical="top" wrapText="1"/>
    </xf>
    <xf numFmtId="0" fontId="5" fillId="0" borderId="4" xfId="0" applyFont="1" applyBorder="1" applyAlignment="1">
      <alignment horizontal="left" vertical="top" wrapText="1"/>
    </xf>
    <xf numFmtId="0" fontId="8" fillId="46" borderId="1" xfId="0" applyFont="1" applyFill="1" applyBorder="1" applyAlignment="1">
      <alignment horizontal="center" vertical="center"/>
    </xf>
    <xf numFmtId="0" fontId="8"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10" borderId="3" xfId="0" applyFont="1" applyFill="1" applyBorder="1" applyAlignment="1">
      <alignment horizontal="center" vertical="center"/>
    </xf>
    <xf numFmtId="0" fontId="8" fillId="10" borderId="6" xfId="0" applyFont="1" applyFill="1" applyBorder="1" applyAlignment="1">
      <alignment horizontal="center" vertical="center"/>
    </xf>
    <xf numFmtId="0" fontId="8" fillId="10" borderId="4" xfId="0" applyFont="1" applyFill="1" applyBorder="1" applyAlignment="1">
      <alignment horizontal="center" vertical="center"/>
    </xf>
    <xf numFmtId="0" fontId="8" fillId="45" borderId="3" xfId="0" applyFont="1" applyFill="1" applyBorder="1" applyAlignment="1">
      <alignment horizontal="center" vertical="center"/>
    </xf>
    <xf numFmtId="0" fontId="8" fillId="45" borderId="4"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4" xfId="0" applyFont="1" applyFill="1" applyBorder="1" applyAlignment="1">
      <alignment horizontal="center" vertical="center"/>
    </xf>
    <xf numFmtId="0" fontId="8" fillId="4" borderId="0" xfId="0" applyFont="1" applyFill="1" applyAlignment="1">
      <alignment horizontal="center"/>
    </xf>
    <xf numFmtId="0" fontId="33" fillId="0" borderId="0" xfId="0" applyFont="1" applyAlignment="1">
      <alignment horizontal="left" wrapText="1"/>
    </xf>
    <xf numFmtId="0" fontId="4" fillId="4" borderId="6"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0" xfId="0" applyFont="1" applyFill="1" applyAlignment="1">
      <alignment horizontal="center"/>
    </xf>
    <xf numFmtId="0" fontId="4" fillId="4" borderId="5" xfId="0" applyFont="1" applyFill="1" applyBorder="1" applyAlignment="1">
      <alignment horizontal="center" vertical="top" wrapText="1"/>
    </xf>
    <xf numFmtId="0" fontId="4" fillId="4" borderId="2" xfId="0" applyFont="1" applyFill="1" applyBorder="1" applyAlignment="1">
      <alignment horizontal="center" vertical="top" wrapText="1"/>
    </xf>
    <xf numFmtId="0" fontId="27" fillId="42" borderId="1" xfId="0" applyFont="1" applyFill="1" applyBorder="1" applyAlignment="1">
      <alignment horizontal="center"/>
    </xf>
    <xf numFmtId="0" fontId="27" fillId="43" borderId="1" xfId="0" applyFont="1" applyFill="1" applyBorder="1" applyAlignment="1">
      <alignment horizontal="center" vertical="center"/>
    </xf>
    <xf numFmtId="0" fontId="27" fillId="44" borderId="1" xfId="0" applyFont="1" applyFill="1" applyBorder="1" applyAlignment="1">
      <alignment horizont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1" xr:uid="{00000000-0005-0000-0000-000025000000}"/>
    <cellStyle name="Normal 2 2" xfId="43" xr:uid="{00000000-0005-0000-0000-000026000000}"/>
    <cellStyle name="Normal 3" xfId="44" xr:uid="{00000000-0005-0000-0000-000027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9">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font>
      <fill>
        <patternFill>
          <bgColor rgb="FFFF0000"/>
        </patternFill>
      </fill>
    </dxf>
    <dxf>
      <font>
        <b/>
        <i val="0"/>
      </font>
      <fill>
        <patternFill>
          <bgColor rgb="FFFFC000"/>
        </patternFill>
      </fill>
    </dxf>
    <dxf>
      <font>
        <b/>
        <i val="0"/>
      </font>
      <fill>
        <patternFill>
          <bgColor rgb="FF00CC00"/>
        </patternFill>
      </fill>
    </dxf>
    <dxf>
      <font>
        <b/>
        <i val="0"/>
      </font>
      <fill>
        <patternFill>
          <bgColor rgb="FFFF0000"/>
        </patternFill>
      </fill>
    </dxf>
    <dxf>
      <font>
        <b/>
        <i val="0"/>
      </font>
      <fill>
        <patternFill>
          <bgColor rgb="FFFFC000"/>
        </patternFill>
      </fill>
    </dxf>
    <dxf>
      <font>
        <b/>
        <i val="0"/>
      </font>
      <fill>
        <patternFill>
          <bgColor rgb="FF00CC00"/>
        </patternFill>
      </fill>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font>
      <fill>
        <patternFill>
          <bgColor rgb="FFFF0000"/>
        </patternFill>
      </fill>
    </dxf>
    <dxf>
      <font>
        <b/>
        <i val="0"/>
      </font>
      <fill>
        <patternFill>
          <bgColor rgb="FFFFC000"/>
        </patternFill>
      </fill>
    </dxf>
    <dxf>
      <font>
        <b/>
        <i val="0"/>
      </font>
      <fill>
        <patternFill>
          <bgColor rgb="FF00CC00"/>
        </patternFill>
      </fill>
    </dxf>
    <dxf>
      <font>
        <b/>
        <i val="0"/>
      </font>
      <fill>
        <patternFill>
          <bgColor rgb="FFFF0000"/>
        </patternFill>
      </fill>
    </dxf>
    <dxf>
      <font>
        <b/>
        <i val="0"/>
      </font>
      <fill>
        <patternFill>
          <bgColor rgb="FFFFC000"/>
        </patternFill>
      </fill>
    </dxf>
    <dxf>
      <font>
        <b/>
        <i val="0"/>
      </font>
      <fill>
        <patternFill>
          <bgColor rgb="FF00CC00"/>
        </patternFill>
      </fill>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font>
      <fill>
        <patternFill>
          <bgColor rgb="FFFF0000"/>
        </patternFill>
      </fill>
    </dxf>
    <dxf>
      <font>
        <b/>
        <i val="0"/>
      </font>
      <fill>
        <patternFill>
          <bgColor rgb="FFFFC000"/>
        </patternFill>
      </fill>
    </dxf>
    <dxf>
      <font>
        <b/>
        <i val="0"/>
      </font>
      <fill>
        <patternFill>
          <bgColor rgb="FF00CC00"/>
        </patternFill>
      </fill>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
      <font>
        <b/>
        <i val="0"/>
      </font>
      <fill>
        <patternFill>
          <bgColor rgb="FFFF0000"/>
        </patternFill>
      </fill>
    </dxf>
    <dxf>
      <font>
        <b/>
        <i val="0"/>
      </font>
      <fill>
        <patternFill>
          <bgColor rgb="FFFFC000"/>
        </patternFill>
      </fill>
    </dxf>
    <dxf>
      <font>
        <b/>
        <i val="0"/>
      </font>
      <fill>
        <patternFill>
          <bgColor rgb="FF00CC00"/>
        </patternFill>
      </fill>
    </dxf>
    <dxf>
      <font>
        <b/>
        <i val="0"/>
      </font>
      <fill>
        <patternFill>
          <bgColor rgb="FFFF0000"/>
        </patternFill>
      </fill>
    </dxf>
    <dxf>
      <font>
        <b/>
        <i val="0"/>
      </font>
      <fill>
        <patternFill>
          <bgColor rgb="FFFFC000"/>
        </patternFill>
      </fill>
    </dxf>
    <dxf>
      <font>
        <b/>
        <i val="0"/>
      </font>
      <fill>
        <patternFill>
          <bgColor rgb="FF00CC00"/>
        </patternFill>
      </fill>
    </dxf>
    <dxf>
      <font>
        <b/>
        <i val="0"/>
      </font>
      <fill>
        <patternFill>
          <bgColor rgb="FFFF0000"/>
        </patternFill>
      </fill>
    </dxf>
    <dxf>
      <font>
        <b/>
        <i val="0"/>
      </font>
      <fill>
        <patternFill>
          <bgColor rgb="FFFFC000"/>
        </patternFill>
      </fill>
    </dxf>
    <dxf>
      <font>
        <b/>
        <i val="0"/>
      </font>
      <fill>
        <patternFill>
          <bgColor rgb="FF00CC00"/>
        </patternFill>
      </fill>
    </dxf>
    <dxf>
      <font>
        <b/>
        <i val="0"/>
      </font>
      <fill>
        <patternFill>
          <bgColor rgb="FFFF0000"/>
        </patternFill>
      </fill>
    </dxf>
    <dxf>
      <font>
        <b/>
        <i val="0"/>
      </font>
      <fill>
        <patternFill>
          <bgColor rgb="FFFFC000"/>
        </patternFill>
      </fill>
    </dxf>
    <dxf>
      <font>
        <b/>
        <i val="0"/>
      </font>
      <fill>
        <patternFill>
          <bgColor rgb="FF00CC00"/>
        </patternFill>
      </fill>
    </dxf>
    <dxf>
      <font>
        <b/>
        <i val="0"/>
        <color theme="0"/>
      </font>
      <fill>
        <patternFill>
          <bgColor rgb="FF0070C0"/>
        </patternFill>
      </fill>
    </dxf>
    <dxf>
      <font>
        <b/>
        <i val="0"/>
        <color theme="0"/>
      </font>
      <fill>
        <patternFill>
          <bgColor theme="9"/>
        </patternFill>
      </fill>
      <border>
        <left style="thin">
          <color auto="1"/>
        </left>
        <right style="thin">
          <color auto="1"/>
        </right>
        <top style="thin">
          <color auto="1"/>
        </top>
        <bottom style="thin">
          <color auto="1"/>
        </bottom>
        <vertical/>
        <horizontal/>
      </border>
    </dxf>
    <dxf>
      <font>
        <b/>
        <i val="0"/>
        <color theme="0"/>
      </font>
      <fill>
        <patternFill>
          <bgColor theme="5"/>
        </patternFill>
      </fill>
      <border>
        <vertical/>
        <horizontal/>
      </border>
    </dxf>
    <dxf>
      <font>
        <b/>
        <i val="0"/>
        <color theme="0"/>
      </font>
      <fill>
        <patternFill>
          <bgColor rgb="FF92D050"/>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xdr:col>
      <xdr:colOff>1609725</xdr:colOff>
      <xdr:row>3</xdr:row>
      <xdr:rowOff>19050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3350"/>
          <a:ext cx="2219325"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142875</xdr:rowOff>
    </xdr:from>
    <xdr:to>
      <xdr:col>1</xdr:col>
      <xdr:colOff>1442127</xdr:colOff>
      <xdr:row>0</xdr:row>
      <xdr:rowOff>558511</xdr:rowOff>
    </xdr:to>
    <xdr:pic>
      <xdr:nvPicPr>
        <xdr:cNvPr id="2" name="Picture 1">
          <a:extLst>
            <a:ext uri="{FF2B5EF4-FFF2-40B4-BE49-F238E27FC236}">
              <a16:creationId xmlns:a16="http://schemas.microsoft.com/office/drawing/2014/main" id="{10E3DC8C-A0A1-4CD5-AC69-B1846577E1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2875"/>
          <a:ext cx="2013627" cy="4156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14596</xdr:colOff>
      <xdr:row>17</xdr:row>
      <xdr:rowOff>7299</xdr:rowOff>
    </xdr:from>
    <xdr:to>
      <xdr:col>4</xdr:col>
      <xdr:colOff>167874</xdr:colOff>
      <xdr:row>22</xdr:row>
      <xdr:rowOff>579583</xdr:rowOff>
    </xdr:to>
    <xdr:pic>
      <xdr:nvPicPr>
        <xdr:cNvPr id="3" name="Picture 2">
          <a:extLst>
            <a:ext uri="{FF2B5EF4-FFF2-40B4-BE49-F238E27FC236}">
              <a16:creationId xmlns:a16="http://schemas.microsoft.com/office/drawing/2014/main" id="{665CE624-3B1F-455E-90BB-03C95F2F24DF}"/>
            </a:ext>
          </a:extLst>
        </xdr:cNvPr>
        <xdr:cNvPicPr>
          <a:picLocks noChangeAspect="1"/>
        </xdr:cNvPicPr>
      </xdr:nvPicPr>
      <xdr:blipFill rotWithShape="1">
        <a:blip xmlns:r="http://schemas.openxmlformats.org/officeDocument/2006/relationships" r:embed="rId1"/>
        <a:srcRect t="3718"/>
        <a:stretch/>
      </xdr:blipFill>
      <xdr:spPr>
        <a:xfrm>
          <a:off x="656895" y="10021322"/>
          <a:ext cx="7466726" cy="37472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238125</xdr:rowOff>
    </xdr:from>
    <xdr:to>
      <xdr:col>1</xdr:col>
      <xdr:colOff>1609725</xdr:colOff>
      <xdr:row>1</xdr:row>
      <xdr:rowOff>27707</xdr:rowOff>
    </xdr:to>
    <xdr:pic>
      <xdr:nvPicPr>
        <xdr:cNvPr id="2" name="Picture 1">
          <a:extLst>
            <a:ext uri="{FF2B5EF4-FFF2-40B4-BE49-F238E27FC236}">
              <a16:creationId xmlns:a16="http://schemas.microsoft.com/office/drawing/2014/main" id="{3F516787-7EB8-4A8E-9EC7-5038351792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8125"/>
          <a:ext cx="2251075" cy="4944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4" workbookViewId="0">
      <selection activeCell="B21" sqref="B21"/>
    </sheetView>
  </sheetViews>
  <sheetFormatPr defaultRowHeight="14.4" x14ac:dyDescent="0.3"/>
  <cols>
    <col min="2" max="2" width="31.77734375" customWidth="1"/>
    <col min="3" max="3" width="15.21875" customWidth="1"/>
    <col min="4" max="4" width="13" customWidth="1"/>
    <col min="5" max="5" width="95.77734375" customWidth="1"/>
  </cols>
  <sheetData>
    <row r="1" spans="1:5" x14ac:dyDescent="0.3">
      <c r="A1" s="92"/>
      <c r="B1" s="92"/>
      <c r="C1" s="92"/>
      <c r="D1" s="92"/>
      <c r="E1" s="92"/>
    </row>
    <row r="2" spans="1:5" x14ac:dyDescent="0.3">
      <c r="A2" s="92"/>
      <c r="B2" s="92"/>
      <c r="C2" s="92"/>
      <c r="D2" s="92"/>
      <c r="E2" s="92"/>
    </row>
    <row r="3" spans="1:5" x14ac:dyDescent="0.3">
      <c r="A3" s="92"/>
      <c r="B3" s="92"/>
      <c r="C3" s="92"/>
      <c r="D3" s="92"/>
      <c r="E3" s="92"/>
    </row>
    <row r="4" spans="1:5" ht="6.75" customHeight="1" x14ac:dyDescent="0.3">
      <c r="A4" s="92"/>
      <c r="B4" s="92"/>
      <c r="C4" s="92"/>
      <c r="D4" s="92"/>
      <c r="E4" s="92"/>
    </row>
    <row r="5" spans="1:5" x14ac:dyDescent="0.3">
      <c r="B5" s="1" t="s">
        <v>12</v>
      </c>
      <c r="C5" s="93" t="s">
        <v>5</v>
      </c>
      <c r="D5" s="94"/>
      <c r="E5" s="95"/>
    </row>
    <row r="6" spans="1:5" x14ac:dyDescent="0.3">
      <c r="B6" s="10" t="s">
        <v>13</v>
      </c>
      <c r="C6" s="91" t="s">
        <v>427</v>
      </c>
      <c r="D6" s="91"/>
      <c r="E6" s="91"/>
    </row>
    <row r="7" spans="1:5" x14ac:dyDescent="0.3">
      <c r="B7" s="10" t="s">
        <v>14</v>
      </c>
      <c r="C7" s="91"/>
      <c r="D7" s="91"/>
      <c r="E7" s="91"/>
    </row>
    <row r="8" spans="1:5" ht="15" customHeight="1" x14ac:dyDescent="0.3">
      <c r="B8" s="10" t="s">
        <v>15</v>
      </c>
      <c r="C8" s="91" t="s">
        <v>47</v>
      </c>
      <c r="D8" s="91"/>
      <c r="E8" s="91"/>
    </row>
    <row r="9" spans="1:5" x14ac:dyDescent="0.3">
      <c r="B9" s="10" t="s">
        <v>16</v>
      </c>
      <c r="C9" s="96" t="s">
        <v>426</v>
      </c>
      <c r="D9" s="96"/>
      <c r="E9" s="96"/>
    </row>
    <row r="10" spans="1:5" x14ac:dyDescent="0.3">
      <c r="B10" s="10" t="s">
        <v>17</v>
      </c>
      <c r="C10" s="97" t="s">
        <v>425</v>
      </c>
      <c r="D10" s="98"/>
      <c r="E10" s="99"/>
    </row>
    <row r="11" spans="1:5" x14ac:dyDescent="0.3">
      <c r="B11" s="10" t="s">
        <v>18</v>
      </c>
      <c r="C11" s="90"/>
      <c r="D11" s="91"/>
      <c r="E11" s="91"/>
    </row>
    <row r="12" spans="1:5" x14ac:dyDescent="0.3">
      <c r="B12" s="10" t="s">
        <v>19</v>
      </c>
      <c r="C12" s="90"/>
      <c r="D12" s="91"/>
      <c r="E12" s="91"/>
    </row>
    <row r="15" spans="1:5" ht="16.2" x14ac:dyDescent="0.3">
      <c r="B15" s="2" t="s">
        <v>20</v>
      </c>
      <c r="C15" s="3"/>
    </row>
    <row r="16" spans="1:5" x14ac:dyDescent="0.3">
      <c r="B16" s="4" t="s">
        <v>21</v>
      </c>
      <c r="C16" s="3"/>
    </row>
    <row r="18" spans="2:5" x14ac:dyDescent="0.3">
      <c r="B18" s="1" t="s">
        <v>22</v>
      </c>
      <c r="C18" s="1" t="s">
        <v>23</v>
      </c>
      <c r="D18" s="1" t="s">
        <v>24</v>
      </c>
      <c r="E18" s="5" t="s">
        <v>25</v>
      </c>
    </row>
    <row r="19" spans="2:5" ht="15" customHeight="1" x14ac:dyDescent="0.3">
      <c r="B19" s="6" t="s">
        <v>396</v>
      </c>
      <c r="C19" s="7">
        <v>44704</v>
      </c>
      <c r="D19" s="8"/>
      <c r="E19" s="9"/>
    </row>
    <row r="20" spans="2:5" x14ac:dyDescent="0.3">
      <c r="B20" s="6" t="s">
        <v>426</v>
      </c>
      <c r="C20" s="7">
        <v>44725</v>
      </c>
      <c r="D20" s="8"/>
      <c r="E20" s="9"/>
    </row>
    <row r="21" spans="2:5" x14ac:dyDescent="0.3">
      <c r="B21" s="6"/>
      <c r="C21" s="7"/>
      <c r="D21" s="8"/>
      <c r="E21" s="9"/>
    </row>
    <row r="24" spans="2:5" x14ac:dyDescent="0.3">
      <c r="B24" s="1" t="s">
        <v>22</v>
      </c>
      <c r="C24" s="1" t="s">
        <v>23</v>
      </c>
      <c r="D24" s="1" t="s">
        <v>26</v>
      </c>
      <c r="E24" s="5" t="s">
        <v>25</v>
      </c>
    </row>
    <row r="25" spans="2:5" x14ac:dyDescent="0.3">
      <c r="B25" s="6" t="s">
        <v>396</v>
      </c>
      <c r="C25" s="7"/>
      <c r="D25" s="8"/>
      <c r="E25" s="9"/>
    </row>
    <row r="26" spans="2:5" x14ac:dyDescent="0.3">
      <c r="B26" s="6"/>
      <c r="C26" s="7"/>
      <c r="D26" s="8"/>
      <c r="E26" s="9"/>
    </row>
    <row r="27" spans="2:5" x14ac:dyDescent="0.3">
      <c r="B27" s="6"/>
      <c r="C27" s="7"/>
      <c r="D27" s="8"/>
      <c r="E27" s="9"/>
    </row>
  </sheetData>
  <mergeCells count="9">
    <mergeCell ref="C11:E11"/>
    <mergeCell ref="C12:E12"/>
    <mergeCell ref="A1:E4"/>
    <mergeCell ref="C5:E5"/>
    <mergeCell ref="C6:E6"/>
    <mergeCell ref="C7:E7"/>
    <mergeCell ref="C8:E8"/>
    <mergeCell ref="C9:E9"/>
    <mergeCell ref="C10:E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55AE-D26B-44C0-B516-AA1CDA560C48}">
  <dimension ref="A1:BJ241"/>
  <sheetViews>
    <sheetView tabSelected="1" zoomScale="94" zoomScaleNormal="94" workbookViewId="0">
      <pane xSplit="2" topLeftCell="I1" activePane="topRight" state="frozen"/>
      <selection activeCell="A35" sqref="A35"/>
      <selection pane="topRight" activeCell="S5" sqref="S5"/>
    </sheetView>
  </sheetViews>
  <sheetFormatPr defaultColWidth="9.21875" defaultRowHeight="14.4" x14ac:dyDescent="0.3"/>
  <cols>
    <col min="1" max="1" width="8.5546875" style="26" customWidth="1"/>
    <col min="2" max="2" width="22" style="37" customWidth="1"/>
    <col min="3" max="3" width="18.21875" style="26" customWidth="1"/>
    <col min="4" max="4" width="24.5546875" style="26" customWidth="1"/>
    <col min="5" max="7" width="18.21875" style="26" customWidth="1"/>
    <col min="8" max="8" width="36.44140625" style="38" customWidth="1"/>
    <col min="9" max="9" width="35" style="38" customWidth="1"/>
    <col min="10" max="10" width="19" style="26" customWidth="1"/>
    <col min="11" max="11" width="15.77734375" style="26" customWidth="1"/>
    <col min="12" max="12" width="18.77734375" style="26" customWidth="1"/>
    <col min="13" max="13" width="17.77734375" style="26" customWidth="1"/>
    <col min="14" max="14" width="32.77734375" style="38" customWidth="1"/>
    <col min="15" max="15" width="24" style="26" customWidth="1"/>
    <col min="16" max="16" width="20.44140625" style="26" customWidth="1"/>
    <col min="17" max="17" width="19.5546875" style="26" customWidth="1"/>
    <col min="18" max="18" width="23" style="26" customWidth="1"/>
    <col min="19" max="19" width="50" style="26" customWidth="1"/>
    <col min="20" max="20" width="38.77734375" style="26" customWidth="1"/>
    <col min="21" max="21" width="28.77734375" style="26" customWidth="1"/>
    <col min="22" max="22" width="32.21875" style="26" customWidth="1"/>
    <col min="23" max="23" width="23.77734375" style="26" customWidth="1"/>
    <col min="24" max="24" width="29.21875" style="26" customWidth="1"/>
    <col min="25" max="25" width="25.77734375" style="26" customWidth="1"/>
    <col min="26" max="26" width="19" style="26" customWidth="1"/>
    <col min="27" max="27" width="22.21875" style="26" customWidth="1"/>
    <col min="28" max="28" width="19.44140625" style="26" customWidth="1"/>
    <col min="29" max="16384" width="9.21875" style="21"/>
  </cols>
  <sheetData>
    <row r="1" spans="1:28" ht="54" customHeight="1" x14ac:dyDescent="0.3"/>
    <row r="2" spans="1:28" x14ac:dyDescent="0.3">
      <c r="A2" s="101" t="s">
        <v>37</v>
      </c>
      <c r="B2" s="102"/>
      <c r="C2" s="101"/>
      <c r="D2" s="101"/>
      <c r="E2" s="101"/>
      <c r="F2" s="101"/>
      <c r="G2" s="101"/>
      <c r="H2" s="101"/>
      <c r="I2" s="101"/>
      <c r="J2" s="103" t="s">
        <v>411</v>
      </c>
      <c r="K2" s="103"/>
      <c r="L2" s="103"/>
      <c r="M2" s="103"/>
      <c r="N2" s="104" t="s">
        <v>410</v>
      </c>
      <c r="O2" s="105"/>
      <c r="P2" s="105"/>
      <c r="Q2" s="105"/>
      <c r="R2" s="106"/>
      <c r="S2" s="107" t="s">
        <v>380</v>
      </c>
      <c r="T2" s="108"/>
      <c r="U2" s="109" t="s">
        <v>381</v>
      </c>
      <c r="V2" s="110"/>
      <c r="W2" s="110"/>
      <c r="X2" s="110"/>
      <c r="Y2" s="111"/>
      <c r="Z2" s="100" t="s">
        <v>41</v>
      </c>
      <c r="AA2" s="100"/>
      <c r="AB2" s="100"/>
    </row>
    <row r="3" spans="1:28" ht="27.6" x14ac:dyDescent="0.3">
      <c r="A3" s="49" t="s">
        <v>0</v>
      </c>
      <c r="B3" s="49" t="s">
        <v>36</v>
      </c>
      <c r="C3" s="49" t="s">
        <v>163</v>
      </c>
      <c r="D3" s="49" t="s">
        <v>376</v>
      </c>
      <c r="E3" s="49" t="s">
        <v>375</v>
      </c>
      <c r="F3" s="49" t="s">
        <v>374</v>
      </c>
      <c r="G3" s="49" t="s">
        <v>35</v>
      </c>
      <c r="H3" s="49" t="s">
        <v>1</v>
      </c>
      <c r="I3" s="49" t="s">
        <v>2</v>
      </c>
      <c r="J3" s="49" t="s">
        <v>3</v>
      </c>
      <c r="K3" s="49" t="s">
        <v>4</v>
      </c>
      <c r="L3" s="49" t="s">
        <v>7</v>
      </c>
      <c r="M3" s="49" t="s">
        <v>8</v>
      </c>
      <c r="N3" s="49" t="s">
        <v>161</v>
      </c>
      <c r="O3" s="49" t="s">
        <v>9</v>
      </c>
      <c r="P3" s="49" t="s">
        <v>10</v>
      </c>
      <c r="Q3" s="49" t="s">
        <v>40</v>
      </c>
      <c r="R3" s="49" t="s">
        <v>11</v>
      </c>
      <c r="S3" s="49" t="s">
        <v>377</v>
      </c>
      <c r="T3" s="49" t="s">
        <v>378</v>
      </c>
      <c r="U3" s="49" t="s">
        <v>160</v>
      </c>
      <c r="V3" s="49" t="s">
        <v>370</v>
      </c>
      <c r="W3" s="49" t="s">
        <v>371</v>
      </c>
      <c r="X3" s="49" t="s">
        <v>372</v>
      </c>
      <c r="Y3" s="49" t="s">
        <v>373</v>
      </c>
      <c r="Z3" s="49" t="s">
        <v>38</v>
      </c>
      <c r="AA3" s="49" t="s">
        <v>39</v>
      </c>
      <c r="AB3" s="73" t="s">
        <v>379</v>
      </c>
    </row>
    <row r="4" spans="1:28" s="26" customFormat="1" ht="231" customHeight="1" x14ac:dyDescent="0.3">
      <c r="A4" s="41"/>
      <c r="B4" s="43" t="s">
        <v>242</v>
      </c>
      <c r="C4" s="45" t="s">
        <v>238</v>
      </c>
      <c r="D4" s="45">
        <v>3</v>
      </c>
      <c r="E4" s="45">
        <v>3</v>
      </c>
      <c r="F4" s="45">
        <v>3</v>
      </c>
      <c r="G4" s="45">
        <v>9</v>
      </c>
      <c r="H4" s="42" t="s">
        <v>428</v>
      </c>
      <c r="I4" s="42" t="s">
        <v>205</v>
      </c>
      <c r="J4" s="51">
        <v>2</v>
      </c>
      <c r="K4" s="41">
        <v>3</v>
      </c>
      <c r="L4" s="52">
        <f t="shared" ref="L4:L11" si="0">K4*J4*G4</f>
        <v>54</v>
      </c>
      <c r="M4" s="60" t="str">
        <f>IF(L4&lt;=20,"Low",IF(L4&lt;=40,"Medium",IF(L4&lt;=81,"High")))</f>
        <v>High</v>
      </c>
      <c r="N4" s="82" t="s">
        <v>395</v>
      </c>
      <c r="O4" s="51">
        <v>1</v>
      </c>
      <c r="P4" s="51">
        <v>2</v>
      </c>
      <c r="Q4" s="53">
        <f t="shared" ref="Q4:Q43" si="1">O4*P4*G4</f>
        <v>18</v>
      </c>
      <c r="R4" s="62" t="str">
        <f>IF(Q4&lt;=20,"Low",IF(Q4&lt;=40,"Medium",IF(Q4&lt;=81,"High")))</f>
        <v>Low</v>
      </c>
      <c r="S4" s="81" t="s">
        <v>424</v>
      </c>
      <c r="T4" s="57" t="s">
        <v>212</v>
      </c>
      <c r="U4" s="55" t="s">
        <v>318</v>
      </c>
      <c r="V4" s="55"/>
      <c r="W4" s="55"/>
      <c r="X4" s="56" t="s">
        <v>317</v>
      </c>
      <c r="Y4" s="56"/>
      <c r="Z4" s="56" t="str">
        <f>IF(Q4&lt;=20,"Yes",IF(Q4&gt;20,"No"))</f>
        <v>Yes</v>
      </c>
      <c r="AA4" s="56" t="str">
        <f>IF(Z4="Yes","30 May,2023",IF(Z4="No","30 Aug,2022"))</f>
        <v>30 May,2023</v>
      </c>
    </row>
    <row r="5" spans="1:28" s="26" customFormat="1" ht="151.80000000000001" x14ac:dyDescent="0.3">
      <c r="A5" s="42"/>
      <c r="B5" s="43" t="s">
        <v>253</v>
      </c>
      <c r="C5" s="43" t="s">
        <v>254</v>
      </c>
      <c r="D5" s="43">
        <v>3</v>
      </c>
      <c r="E5" s="43">
        <v>3</v>
      </c>
      <c r="F5" s="45">
        <v>3</v>
      </c>
      <c r="G5" s="43">
        <v>9</v>
      </c>
      <c r="H5" s="42" t="s">
        <v>428</v>
      </c>
      <c r="I5" s="42" t="s">
        <v>205</v>
      </c>
      <c r="J5" s="51">
        <v>2</v>
      </c>
      <c r="K5" s="41">
        <v>3</v>
      </c>
      <c r="L5" s="52">
        <f t="shared" si="0"/>
        <v>54</v>
      </c>
      <c r="M5" s="60" t="str">
        <f t="shared" ref="M5:M11" si="2">IF(L5&lt;=20,"Low",IF(L5&lt;=40,"Medium",IF(L5&lt;=81,"High")))</f>
        <v>High</v>
      </c>
      <c r="N5" s="82" t="s">
        <v>395</v>
      </c>
      <c r="O5" s="51">
        <v>1</v>
      </c>
      <c r="P5" s="51">
        <v>2</v>
      </c>
      <c r="Q5" s="53">
        <f t="shared" si="1"/>
        <v>18</v>
      </c>
      <c r="R5" s="62" t="str">
        <f t="shared" ref="R5:R11" si="3">IF(Q5&lt;=20,"Low",IF(Q5&lt;=40,"Medium",IF(Q5&lt;=81,"High")))</f>
        <v>Low</v>
      </c>
      <c r="S5" s="81" t="s">
        <v>424</v>
      </c>
      <c r="T5" s="57" t="s">
        <v>212</v>
      </c>
      <c r="U5" s="55" t="s">
        <v>318</v>
      </c>
      <c r="V5" s="55"/>
      <c r="W5" s="55"/>
      <c r="X5" s="56" t="s">
        <v>317</v>
      </c>
      <c r="Y5" s="56"/>
      <c r="Z5" s="56" t="str">
        <f t="shared" ref="Z5:Z68" si="4">IF(Q5&lt;=20,"Yes",IF(Q5&gt;20,"No"))</f>
        <v>Yes</v>
      </c>
      <c r="AA5" s="56" t="str">
        <f t="shared" ref="AA5:AA44" si="5">IF(Z5="Yes","30 May,2023",IF(Z5="No","30 Aug,2022"))</f>
        <v>30 May,2023</v>
      </c>
    </row>
    <row r="6" spans="1:28" s="26" customFormat="1" ht="151.80000000000001" x14ac:dyDescent="0.3">
      <c r="A6" s="42"/>
      <c r="B6" s="43" t="s">
        <v>255</v>
      </c>
      <c r="C6" s="45" t="s">
        <v>256</v>
      </c>
      <c r="D6" s="43">
        <v>3</v>
      </c>
      <c r="E6" s="43">
        <v>3</v>
      </c>
      <c r="F6" s="45">
        <v>3</v>
      </c>
      <c r="G6" s="43">
        <v>9</v>
      </c>
      <c r="H6" s="42" t="s">
        <v>428</v>
      </c>
      <c r="I6" s="42" t="s">
        <v>205</v>
      </c>
      <c r="J6" s="51">
        <v>2</v>
      </c>
      <c r="K6" s="41">
        <v>3</v>
      </c>
      <c r="L6" s="52">
        <f t="shared" si="0"/>
        <v>54</v>
      </c>
      <c r="M6" s="60" t="str">
        <f t="shared" si="2"/>
        <v>High</v>
      </c>
      <c r="N6" s="82" t="s">
        <v>395</v>
      </c>
      <c r="O6" s="51">
        <v>1</v>
      </c>
      <c r="P6" s="51">
        <v>2</v>
      </c>
      <c r="Q6" s="53">
        <f t="shared" si="1"/>
        <v>18</v>
      </c>
      <c r="R6" s="62" t="str">
        <f t="shared" si="3"/>
        <v>Low</v>
      </c>
      <c r="S6" s="81" t="s">
        <v>424</v>
      </c>
      <c r="T6" s="57" t="s">
        <v>212</v>
      </c>
      <c r="U6" s="55" t="s">
        <v>318</v>
      </c>
      <c r="V6" s="55"/>
      <c r="W6" s="55"/>
      <c r="X6" s="56" t="s">
        <v>317</v>
      </c>
      <c r="Y6" s="56"/>
      <c r="Z6" s="56" t="str">
        <f t="shared" si="4"/>
        <v>Yes</v>
      </c>
      <c r="AA6" s="56" t="str">
        <f t="shared" si="5"/>
        <v>30 May,2023</v>
      </c>
    </row>
    <row r="7" spans="1:28" s="26" customFormat="1" ht="151.80000000000001" x14ac:dyDescent="0.3">
      <c r="A7" s="41"/>
      <c r="B7" s="43" t="s">
        <v>269</v>
      </c>
      <c r="C7" s="45" t="s">
        <v>270</v>
      </c>
      <c r="D7" s="43">
        <v>3</v>
      </c>
      <c r="E7" s="43">
        <v>3</v>
      </c>
      <c r="F7" s="45">
        <v>3</v>
      </c>
      <c r="G7" s="43">
        <v>9</v>
      </c>
      <c r="H7" s="42" t="s">
        <v>428</v>
      </c>
      <c r="I7" s="42" t="s">
        <v>205</v>
      </c>
      <c r="J7" s="51">
        <v>2</v>
      </c>
      <c r="K7" s="41">
        <v>3</v>
      </c>
      <c r="L7" s="52">
        <f t="shared" si="0"/>
        <v>54</v>
      </c>
      <c r="M7" s="60" t="str">
        <f t="shared" si="2"/>
        <v>High</v>
      </c>
      <c r="N7" s="82" t="s">
        <v>395</v>
      </c>
      <c r="O7" s="51">
        <v>1</v>
      </c>
      <c r="P7" s="51">
        <v>2</v>
      </c>
      <c r="Q7" s="53">
        <f t="shared" si="1"/>
        <v>18</v>
      </c>
      <c r="R7" s="62" t="str">
        <f t="shared" si="3"/>
        <v>Low</v>
      </c>
      <c r="S7" s="81" t="s">
        <v>424</v>
      </c>
      <c r="T7" s="57" t="s">
        <v>212</v>
      </c>
      <c r="U7" s="55" t="s">
        <v>318</v>
      </c>
      <c r="V7" s="55"/>
      <c r="W7" s="55"/>
      <c r="X7" s="56" t="s">
        <v>317</v>
      </c>
      <c r="Y7" s="56"/>
      <c r="Z7" s="56" t="str">
        <f t="shared" si="4"/>
        <v>Yes</v>
      </c>
      <c r="AA7" s="56" t="str">
        <f t="shared" si="5"/>
        <v>30 May,2023</v>
      </c>
    </row>
    <row r="8" spans="1:28" s="26" customFormat="1" ht="151.80000000000001" x14ac:dyDescent="0.3">
      <c r="A8" s="41"/>
      <c r="B8" s="43" t="s">
        <v>276</v>
      </c>
      <c r="C8" s="45" t="s">
        <v>277</v>
      </c>
      <c r="D8" s="43">
        <v>3</v>
      </c>
      <c r="E8" s="43">
        <v>3</v>
      </c>
      <c r="F8" s="45">
        <v>3</v>
      </c>
      <c r="G8" s="41">
        <v>9</v>
      </c>
      <c r="H8" s="42" t="s">
        <v>428</v>
      </c>
      <c r="I8" s="42" t="s">
        <v>205</v>
      </c>
      <c r="J8" s="51">
        <v>2</v>
      </c>
      <c r="K8" s="41">
        <v>3</v>
      </c>
      <c r="L8" s="52">
        <f t="shared" si="0"/>
        <v>54</v>
      </c>
      <c r="M8" s="60" t="str">
        <f t="shared" si="2"/>
        <v>High</v>
      </c>
      <c r="N8" s="82" t="s">
        <v>395</v>
      </c>
      <c r="O8" s="51">
        <v>1</v>
      </c>
      <c r="P8" s="51">
        <v>2</v>
      </c>
      <c r="Q8" s="53">
        <f t="shared" si="1"/>
        <v>18</v>
      </c>
      <c r="R8" s="62" t="str">
        <f t="shared" si="3"/>
        <v>Low</v>
      </c>
      <c r="S8" s="81" t="s">
        <v>424</v>
      </c>
      <c r="T8" s="57" t="s">
        <v>212</v>
      </c>
      <c r="U8" s="55" t="s">
        <v>318</v>
      </c>
      <c r="V8" s="55"/>
      <c r="W8" s="55"/>
      <c r="X8" s="56" t="s">
        <v>317</v>
      </c>
      <c r="Y8" s="56"/>
      <c r="Z8" s="56" t="str">
        <f t="shared" si="4"/>
        <v>Yes</v>
      </c>
      <c r="AA8" s="56" t="str">
        <f t="shared" si="5"/>
        <v>30 May,2023</v>
      </c>
    </row>
    <row r="9" spans="1:28" s="26" customFormat="1" ht="151.80000000000001" x14ac:dyDescent="0.3">
      <c r="A9" s="41"/>
      <c r="B9" s="43" t="s">
        <v>305</v>
      </c>
      <c r="C9" s="45" t="s">
        <v>307</v>
      </c>
      <c r="D9" s="43">
        <v>3</v>
      </c>
      <c r="E9" s="43">
        <v>3</v>
      </c>
      <c r="F9" s="45">
        <v>3</v>
      </c>
      <c r="G9" s="41">
        <v>9</v>
      </c>
      <c r="H9" s="42" t="s">
        <v>428</v>
      </c>
      <c r="I9" s="42" t="s">
        <v>205</v>
      </c>
      <c r="J9" s="51">
        <v>2</v>
      </c>
      <c r="K9" s="41">
        <v>3</v>
      </c>
      <c r="L9" s="52">
        <f t="shared" si="0"/>
        <v>54</v>
      </c>
      <c r="M9" s="60" t="str">
        <f t="shared" si="2"/>
        <v>High</v>
      </c>
      <c r="N9" s="82" t="s">
        <v>395</v>
      </c>
      <c r="O9" s="51">
        <v>1</v>
      </c>
      <c r="P9" s="51">
        <v>2</v>
      </c>
      <c r="Q9" s="53">
        <f t="shared" si="1"/>
        <v>18</v>
      </c>
      <c r="R9" s="62" t="str">
        <f t="shared" si="3"/>
        <v>Low</v>
      </c>
      <c r="S9" s="81" t="s">
        <v>424</v>
      </c>
      <c r="T9" s="57" t="s">
        <v>212</v>
      </c>
      <c r="U9" s="55" t="s">
        <v>318</v>
      </c>
      <c r="V9" s="55"/>
      <c r="W9" s="55"/>
      <c r="X9" s="56" t="s">
        <v>317</v>
      </c>
      <c r="Y9" s="56"/>
      <c r="Z9" s="56" t="str">
        <f t="shared" si="4"/>
        <v>Yes</v>
      </c>
      <c r="AA9" s="56" t="str">
        <f t="shared" si="5"/>
        <v>30 May,2023</v>
      </c>
    </row>
    <row r="10" spans="1:28" s="26" customFormat="1" ht="151.80000000000001" x14ac:dyDescent="0.3">
      <c r="A10" s="41"/>
      <c r="B10" s="43" t="s">
        <v>278</v>
      </c>
      <c r="C10" s="45" t="s">
        <v>279</v>
      </c>
      <c r="D10" s="43">
        <v>3</v>
      </c>
      <c r="E10" s="43">
        <v>3</v>
      </c>
      <c r="F10" s="45">
        <v>3</v>
      </c>
      <c r="G10" s="41">
        <v>9</v>
      </c>
      <c r="H10" s="42" t="s">
        <v>428</v>
      </c>
      <c r="I10" s="42" t="s">
        <v>205</v>
      </c>
      <c r="J10" s="51">
        <v>2</v>
      </c>
      <c r="K10" s="41">
        <v>3</v>
      </c>
      <c r="L10" s="52">
        <f t="shared" si="0"/>
        <v>54</v>
      </c>
      <c r="M10" s="60" t="str">
        <f t="shared" si="2"/>
        <v>High</v>
      </c>
      <c r="N10" s="82" t="s">
        <v>395</v>
      </c>
      <c r="O10" s="51">
        <v>1</v>
      </c>
      <c r="P10" s="51">
        <v>2</v>
      </c>
      <c r="Q10" s="53">
        <f t="shared" si="1"/>
        <v>18</v>
      </c>
      <c r="R10" s="62" t="str">
        <f t="shared" si="3"/>
        <v>Low</v>
      </c>
      <c r="S10" s="81" t="s">
        <v>424</v>
      </c>
      <c r="T10" s="57" t="s">
        <v>212</v>
      </c>
      <c r="U10" s="55" t="s">
        <v>318</v>
      </c>
      <c r="V10" s="55"/>
      <c r="W10" s="55"/>
      <c r="X10" s="56" t="s">
        <v>317</v>
      </c>
      <c r="Y10" s="56"/>
      <c r="Z10" s="56" t="str">
        <f t="shared" si="4"/>
        <v>Yes</v>
      </c>
      <c r="AA10" s="56" t="str">
        <f t="shared" si="5"/>
        <v>30 May,2023</v>
      </c>
    </row>
    <row r="11" spans="1:28" s="26" customFormat="1" ht="151.80000000000001" x14ac:dyDescent="0.3">
      <c r="A11" s="20"/>
      <c r="B11" s="43" t="s">
        <v>308</v>
      </c>
      <c r="C11" s="45" t="s">
        <v>309</v>
      </c>
      <c r="D11" s="43">
        <v>3</v>
      </c>
      <c r="E11" s="43">
        <v>3</v>
      </c>
      <c r="F11" s="45">
        <v>3</v>
      </c>
      <c r="G11" s="45">
        <v>9</v>
      </c>
      <c r="H11" s="42" t="s">
        <v>428</v>
      </c>
      <c r="I11" s="42" t="s">
        <v>205</v>
      </c>
      <c r="J11" s="51">
        <v>2</v>
      </c>
      <c r="K11" s="41">
        <v>3</v>
      </c>
      <c r="L11" s="52">
        <f t="shared" si="0"/>
        <v>54</v>
      </c>
      <c r="M11" s="60" t="str">
        <f t="shared" si="2"/>
        <v>High</v>
      </c>
      <c r="N11" s="82" t="s">
        <v>395</v>
      </c>
      <c r="O11" s="51">
        <v>1</v>
      </c>
      <c r="P11" s="51">
        <v>2</v>
      </c>
      <c r="Q11" s="53">
        <f t="shared" si="1"/>
        <v>18</v>
      </c>
      <c r="R11" s="62" t="str">
        <f t="shared" si="3"/>
        <v>Low</v>
      </c>
      <c r="S11" s="81" t="s">
        <v>424</v>
      </c>
      <c r="T11" s="57" t="s">
        <v>212</v>
      </c>
      <c r="U11" s="55" t="s">
        <v>318</v>
      </c>
      <c r="V11" s="55"/>
      <c r="W11" s="55"/>
      <c r="X11" s="56" t="s">
        <v>317</v>
      </c>
      <c r="Y11" s="56"/>
      <c r="Z11" s="56" t="str">
        <f t="shared" si="4"/>
        <v>Yes</v>
      </c>
      <c r="AA11" s="56" t="str">
        <f t="shared" si="5"/>
        <v>30 May,2023</v>
      </c>
    </row>
    <row r="12" spans="1:28" s="26" customFormat="1" ht="72.75" customHeight="1" x14ac:dyDescent="0.3">
      <c r="A12" s="42"/>
      <c r="B12" s="44" t="s">
        <v>92</v>
      </c>
      <c r="C12" s="40" t="s">
        <v>153</v>
      </c>
      <c r="D12" s="40">
        <v>2</v>
      </c>
      <c r="E12" s="40">
        <v>1</v>
      </c>
      <c r="F12" s="40">
        <v>2</v>
      </c>
      <c r="G12" s="41">
        <v>5</v>
      </c>
      <c r="H12" s="44" t="s">
        <v>216</v>
      </c>
      <c r="I12" s="44" t="s">
        <v>217</v>
      </c>
      <c r="J12" s="51">
        <v>2</v>
      </c>
      <c r="K12" s="41">
        <v>2</v>
      </c>
      <c r="L12" s="52">
        <f t="shared" ref="L12:L36" si="6">K12*J12*G12</f>
        <v>20</v>
      </c>
      <c r="M12" s="62" t="str">
        <f t="shared" ref="M12:M50" si="7">IF(L12&lt;=20,"Low",IF(L12&lt;=40,"Medium",IF(L12&lt;=81,"High")))</f>
        <v>Low</v>
      </c>
      <c r="N12" s="83" t="s">
        <v>386</v>
      </c>
      <c r="O12" s="51">
        <v>1</v>
      </c>
      <c r="P12" s="51">
        <v>1</v>
      </c>
      <c r="Q12" s="53">
        <f t="shared" si="1"/>
        <v>5</v>
      </c>
      <c r="R12" s="62" t="str">
        <f t="shared" ref="R12:R20" si="8">IF(Q12&lt;=20,"Low",IF(Q12&lt;=40,"Medium",IF(Q12&lt;=81,"High")))</f>
        <v>Low</v>
      </c>
      <c r="S12" s="19" t="s">
        <v>387</v>
      </c>
      <c r="T12" s="57" t="s">
        <v>222</v>
      </c>
      <c r="U12" s="55" t="s">
        <v>318</v>
      </c>
      <c r="V12" s="55"/>
      <c r="W12" s="55"/>
      <c r="X12" s="55" t="s">
        <v>291</v>
      </c>
      <c r="Y12" s="55"/>
      <c r="Z12" s="56" t="str">
        <f t="shared" si="4"/>
        <v>Yes</v>
      </c>
      <c r="AA12" s="56" t="str">
        <f t="shared" si="5"/>
        <v>30 May,2023</v>
      </c>
    </row>
    <row r="13" spans="1:28" s="26" customFormat="1" ht="55.2" x14ac:dyDescent="0.3">
      <c r="A13" s="42"/>
      <c r="B13" s="44" t="s">
        <v>92</v>
      </c>
      <c r="C13" s="40" t="s">
        <v>153</v>
      </c>
      <c r="D13" s="40">
        <v>2</v>
      </c>
      <c r="E13" s="40">
        <v>1</v>
      </c>
      <c r="F13" s="40">
        <v>2</v>
      </c>
      <c r="G13" s="41">
        <v>5</v>
      </c>
      <c r="H13" s="44" t="s">
        <v>218</v>
      </c>
      <c r="I13" s="44" t="s">
        <v>219</v>
      </c>
      <c r="J13" s="51">
        <v>2</v>
      </c>
      <c r="K13" s="41">
        <v>2</v>
      </c>
      <c r="L13" s="52">
        <f t="shared" si="6"/>
        <v>20</v>
      </c>
      <c r="M13" s="62" t="str">
        <f t="shared" si="7"/>
        <v>Low</v>
      </c>
      <c r="N13" s="83" t="s">
        <v>299</v>
      </c>
      <c r="O13" s="51">
        <v>1</v>
      </c>
      <c r="P13" s="51">
        <v>1</v>
      </c>
      <c r="Q13" s="53">
        <f t="shared" si="1"/>
        <v>5</v>
      </c>
      <c r="R13" s="62" t="str">
        <f t="shared" si="8"/>
        <v>Low</v>
      </c>
      <c r="S13" s="87" t="s">
        <v>388</v>
      </c>
      <c r="T13" s="57" t="s">
        <v>389</v>
      </c>
      <c r="U13" s="55" t="s">
        <v>318</v>
      </c>
      <c r="V13" s="55"/>
      <c r="W13" s="55"/>
      <c r="X13" s="55" t="s">
        <v>291</v>
      </c>
      <c r="Y13" s="55"/>
      <c r="Z13" s="56" t="str">
        <f t="shared" si="4"/>
        <v>Yes</v>
      </c>
      <c r="AA13" s="56" t="str">
        <f t="shared" si="5"/>
        <v>30 May,2023</v>
      </c>
    </row>
    <row r="14" spans="1:28" s="26" customFormat="1" ht="41.4" x14ac:dyDescent="0.3">
      <c r="A14" s="42"/>
      <c r="B14" s="44" t="s">
        <v>92</v>
      </c>
      <c r="C14" s="40" t="s">
        <v>153</v>
      </c>
      <c r="D14" s="40">
        <v>2</v>
      </c>
      <c r="E14" s="40">
        <v>1</v>
      </c>
      <c r="F14" s="40">
        <v>2</v>
      </c>
      <c r="G14" s="41">
        <v>5</v>
      </c>
      <c r="H14" s="44" t="s">
        <v>220</v>
      </c>
      <c r="I14" s="44" t="s">
        <v>221</v>
      </c>
      <c r="J14" s="51">
        <v>2</v>
      </c>
      <c r="K14" s="41">
        <v>2</v>
      </c>
      <c r="L14" s="52">
        <f t="shared" si="6"/>
        <v>20</v>
      </c>
      <c r="M14" s="62" t="str">
        <f t="shared" si="7"/>
        <v>Low</v>
      </c>
      <c r="N14" s="63" t="s">
        <v>315</v>
      </c>
      <c r="O14" s="51">
        <v>1</v>
      </c>
      <c r="P14" s="51">
        <v>1</v>
      </c>
      <c r="Q14" s="53">
        <f t="shared" si="1"/>
        <v>5</v>
      </c>
      <c r="R14" s="62" t="str">
        <f t="shared" si="8"/>
        <v>Low</v>
      </c>
      <c r="S14" s="81" t="s">
        <v>382</v>
      </c>
      <c r="T14" s="57" t="s">
        <v>223</v>
      </c>
      <c r="U14" s="55" t="s">
        <v>318</v>
      </c>
      <c r="V14" s="55"/>
      <c r="W14" s="55"/>
      <c r="X14" s="55" t="s">
        <v>291</v>
      </c>
      <c r="Y14" s="55"/>
      <c r="Z14" s="56" t="str">
        <f t="shared" si="4"/>
        <v>Yes</v>
      </c>
      <c r="AA14" s="56" t="str">
        <f t="shared" si="5"/>
        <v>30 May,2023</v>
      </c>
    </row>
    <row r="15" spans="1:28" s="26" customFormat="1" ht="52.8" x14ac:dyDescent="0.3">
      <c r="A15" s="42"/>
      <c r="B15" s="44" t="s">
        <v>92</v>
      </c>
      <c r="C15" s="40" t="s">
        <v>153</v>
      </c>
      <c r="D15" s="40">
        <v>2</v>
      </c>
      <c r="E15" s="40">
        <v>1</v>
      </c>
      <c r="F15" s="40">
        <v>2</v>
      </c>
      <c r="G15" s="41">
        <v>5</v>
      </c>
      <c r="H15" s="44" t="s">
        <v>211</v>
      </c>
      <c r="I15" s="44" t="s">
        <v>416</v>
      </c>
      <c r="J15" s="51">
        <v>2</v>
      </c>
      <c r="K15" s="41">
        <v>2</v>
      </c>
      <c r="L15" s="52">
        <f t="shared" si="6"/>
        <v>20</v>
      </c>
      <c r="M15" s="62" t="str">
        <f t="shared" si="7"/>
        <v>Low</v>
      </c>
      <c r="N15" s="83" t="s">
        <v>415</v>
      </c>
      <c r="O15" s="51">
        <v>2</v>
      </c>
      <c r="P15" s="51">
        <v>2</v>
      </c>
      <c r="Q15" s="53">
        <f t="shared" si="1"/>
        <v>20</v>
      </c>
      <c r="R15" s="62" t="str">
        <f t="shared" si="8"/>
        <v>Low</v>
      </c>
      <c r="S15" s="19" t="s">
        <v>391</v>
      </c>
      <c r="T15" s="80" t="s">
        <v>392</v>
      </c>
      <c r="U15" s="55" t="s">
        <v>318</v>
      </c>
      <c r="V15" s="55"/>
      <c r="W15" s="55"/>
      <c r="X15" s="55" t="s">
        <v>291</v>
      </c>
      <c r="Y15" s="55"/>
      <c r="Z15" s="56" t="str">
        <f t="shared" si="4"/>
        <v>Yes</v>
      </c>
      <c r="AA15" s="56" t="str">
        <f t="shared" si="5"/>
        <v>30 May,2023</v>
      </c>
    </row>
    <row r="16" spans="1:28" s="26" customFormat="1" ht="124.2" x14ac:dyDescent="0.3">
      <c r="A16" s="42"/>
      <c r="B16" s="44" t="s">
        <v>91</v>
      </c>
      <c r="C16" s="40" t="s">
        <v>152</v>
      </c>
      <c r="D16" s="40">
        <v>2</v>
      </c>
      <c r="E16" s="40">
        <v>1</v>
      </c>
      <c r="F16" s="40">
        <v>2</v>
      </c>
      <c r="G16" s="41">
        <v>5</v>
      </c>
      <c r="H16" s="44" t="s">
        <v>216</v>
      </c>
      <c r="I16" s="44" t="s">
        <v>217</v>
      </c>
      <c r="J16" s="51">
        <v>2</v>
      </c>
      <c r="K16" s="41">
        <v>2</v>
      </c>
      <c r="L16" s="52">
        <f t="shared" si="6"/>
        <v>20</v>
      </c>
      <c r="M16" s="62" t="str">
        <f t="shared" si="7"/>
        <v>Low</v>
      </c>
      <c r="N16" s="83" t="s">
        <v>386</v>
      </c>
      <c r="O16" s="51">
        <v>1</v>
      </c>
      <c r="P16" s="51">
        <v>1</v>
      </c>
      <c r="Q16" s="53">
        <f t="shared" si="1"/>
        <v>5</v>
      </c>
      <c r="R16" s="62" t="str">
        <f t="shared" si="8"/>
        <v>Low</v>
      </c>
      <c r="S16" s="19" t="s">
        <v>387</v>
      </c>
      <c r="T16" s="57" t="s">
        <v>222</v>
      </c>
      <c r="U16" s="55" t="s">
        <v>318</v>
      </c>
      <c r="V16" s="55"/>
      <c r="W16" s="55"/>
      <c r="X16" s="55" t="s">
        <v>291</v>
      </c>
      <c r="Y16" s="55"/>
      <c r="Z16" s="56" t="str">
        <f t="shared" si="4"/>
        <v>Yes</v>
      </c>
      <c r="AA16" s="56" t="str">
        <f t="shared" si="5"/>
        <v>30 May,2023</v>
      </c>
    </row>
    <row r="17" spans="1:27" s="22" customFormat="1" ht="166.5" customHeight="1" x14ac:dyDescent="0.3">
      <c r="A17" s="42"/>
      <c r="B17" s="44" t="s">
        <v>91</v>
      </c>
      <c r="C17" s="40" t="s">
        <v>152</v>
      </c>
      <c r="D17" s="40">
        <v>2</v>
      </c>
      <c r="E17" s="40">
        <v>1</v>
      </c>
      <c r="F17" s="40">
        <v>2</v>
      </c>
      <c r="G17" s="41">
        <v>5</v>
      </c>
      <c r="H17" s="44" t="s">
        <v>218</v>
      </c>
      <c r="I17" s="44" t="s">
        <v>219</v>
      </c>
      <c r="J17" s="51">
        <v>2</v>
      </c>
      <c r="K17" s="41">
        <v>2</v>
      </c>
      <c r="L17" s="52">
        <f t="shared" si="6"/>
        <v>20</v>
      </c>
      <c r="M17" s="62" t="str">
        <f t="shared" si="7"/>
        <v>Low</v>
      </c>
      <c r="N17" s="83" t="s">
        <v>299</v>
      </c>
      <c r="O17" s="51">
        <v>1</v>
      </c>
      <c r="P17" s="51">
        <v>1</v>
      </c>
      <c r="Q17" s="53">
        <f t="shared" si="1"/>
        <v>5</v>
      </c>
      <c r="R17" s="62" t="str">
        <f t="shared" si="8"/>
        <v>Low</v>
      </c>
      <c r="S17" s="87" t="s">
        <v>388</v>
      </c>
      <c r="T17" s="57" t="s">
        <v>389</v>
      </c>
      <c r="U17" s="55" t="s">
        <v>318</v>
      </c>
      <c r="V17" s="55"/>
      <c r="W17" s="55"/>
      <c r="X17" s="55" t="s">
        <v>291</v>
      </c>
      <c r="Y17" s="55"/>
      <c r="Z17" s="56" t="str">
        <f t="shared" si="4"/>
        <v>Yes</v>
      </c>
      <c r="AA17" s="56" t="str">
        <f t="shared" si="5"/>
        <v>30 May,2023</v>
      </c>
    </row>
    <row r="18" spans="1:27" s="22" customFormat="1" ht="110.25" customHeight="1" x14ac:dyDescent="0.3">
      <c r="A18" s="42"/>
      <c r="B18" s="44" t="s">
        <v>91</v>
      </c>
      <c r="C18" s="40" t="s">
        <v>152</v>
      </c>
      <c r="D18" s="40">
        <v>2</v>
      </c>
      <c r="E18" s="40">
        <v>1</v>
      </c>
      <c r="F18" s="40">
        <v>2</v>
      </c>
      <c r="G18" s="41">
        <v>5</v>
      </c>
      <c r="H18" s="44" t="s">
        <v>220</v>
      </c>
      <c r="I18" s="44" t="s">
        <v>221</v>
      </c>
      <c r="J18" s="51">
        <v>2</v>
      </c>
      <c r="K18" s="41">
        <v>2</v>
      </c>
      <c r="L18" s="52">
        <f t="shared" si="6"/>
        <v>20</v>
      </c>
      <c r="M18" s="62" t="str">
        <f t="shared" si="7"/>
        <v>Low</v>
      </c>
      <c r="N18" s="63" t="s">
        <v>315</v>
      </c>
      <c r="O18" s="51">
        <v>1</v>
      </c>
      <c r="P18" s="51">
        <v>1</v>
      </c>
      <c r="Q18" s="53">
        <f t="shared" si="1"/>
        <v>5</v>
      </c>
      <c r="R18" s="62" t="str">
        <f t="shared" si="8"/>
        <v>Low</v>
      </c>
      <c r="S18" s="81" t="s">
        <v>382</v>
      </c>
      <c r="T18" s="57" t="s">
        <v>223</v>
      </c>
      <c r="U18" s="55" t="s">
        <v>318</v>
      </c>
      <c r="V18" s="55"/>
      <c r="W18" s="55"/>
      <c r="X18" s="55" t="s">
        <v>291</v>
      </c>
      <c r="Y18" s="55"/>
      <c r="Z18" s="56" t="str">
        <f t="shared" si="4"/>
        <v>Yes</v>
      </c>
      <c r="AA18" s="56" t="str">
        <f t="shared" si="5"/>
        <v>30 May,2023</v>
      </c>
    </row>
    <row r="19" spans="1:27" s="22" customFormat="1" ht="52.8" x14ac:dyDescent="0.3">
      <c r="A19" s="42"/>
      <c r="B19" s="44" t="s">
        <v>91</v>
      </c>
      <c r="C19" s="40" t="s">
        <v>152</v>
      </c>
      <c r="D19" s="40">
        <v>2</v>
      </c>
      <c r="E19" s="40">
        <v>1</v>
      </c>
      <c r="F19" s="40">
        <v>2</v>
      </c>
      <c r="G19" s="41">
        <v>5</v>
      </c>
      <c r="H19" s="44" t="s">
        <v>211</v>
      </c>
      <c r="I19" s="44" t="s">
        <v>416</v>
      </c>
      <c r="J19" s="51">
        <v>2</v>
      </c>
      <c r="K19" s="41">
        <v>2</v>
      </c>
      <c r="L19" s="52">
        <f t="shared" si="6"/>
        <v>20</v>
      </c>
      <c r="M19" s="62" t="str">
        <f t="shared" si="7"/>
        <v>Low</v>
      </c>
      <c r="N19" s="83" t="s">
        <v>415</v>
      </c>
      <c r="O19" s="51">
        <v>2</v>
      </c>
      <c r="P19" s="51">
        <v>2</v>
      </c>
      <c r="Q19" s="53">
        <f t="shared" si="1"/>
        <v>20</v>
      </c>
      <c r="R19" s="62" t="str">
        <f t="shared" si="8"/>
        <v>Low</v>
      </c>
      <c r="S19" s="19" t="s">
        <v>391</v>
      </c>
      <c r="T19" s="80" t="s">
        <v>392</v>
      </c>
      <c r="U19" s="55" t="s">
        <v>318</v>
      </c>
      <c r="V19" s="55"/>
      <c r="W19" s="55"/>
      <c r="X19" s="55" t="s">
        <v>291</v>
      </c>
      <c r="Y19" s="55"/>
      <c r="Z19" s="56" t="str">
        <f t="shared" si="4"/>
        <v>Yes</v>
      </c>
      <c r="AA19" s="56" t="str">
        <f t="shared" si="5"/>
        <v>30 May,2023</v>
      </c>
    </row>
    <row r="20" spans="1:27" s="26" customFormat="1" ht="82.8" x14ac:dyDescent="0.3">
      <c r="A20" s="42"/>
      <c r="B20" s="44" t="s">
        <v>79</v>
      </c>
      <c r="C20" s="40" t="s">
        <v>142</v>
      </c>
      <c r="D20" s="40">
        <v>2</v>
      </c>
      <c r="E20" s="40">
        <v>1</v>
      </c>
      <c r="F20" s="40">
        <v>2</v>
      </c>
      <c r="G20" s="41">
        <v>5</v>
      </c>
      <c r="H20" s="42" t="s">
        <v>42</v>
      </c>
      <c r="I20" s="43" t="s">
        <v>204</v>
      </c>
      <c r="J20" s="51">
        <v>2</v>
      </c>
      <c r="K20" s="41">
        <v>2</v>
      </c>
      <c r="L20" s="52">
        <f t="shared" si="6"/>
        <v>20</v>
      </c>
      <c r="M20" s="62" t="str">
        <f t="shared" si="7"/>
        <v>Low</v>
      </c>
      <c r="N20" s="84" t="s">
        <v>385</v>
      </c>
      <c r="O20" s="51">
        <v>1</v>
      </c>
      <c r="P20" s="51">
        <v>1</v>
      </c>
      <c r="Q20" s="53">
        <f t="shared" si="1"/>
        <v>5</v>
      </c>
      <c r="R20" s="62" t="str">
        <f t="shared" si="8"/>
        <v>Low</v>
      </c>
      <c r="S20" s="19" t="s">
        <v>384</v>
      </c>
      <c r="T20" s="57" t="s">
        <v>213</v>
      </c>
      <c r="U20" s="55" t="s">
        <v>318</v>
      </c>
      <c r="V20" s="55"/>
      <c r="W20" s="55"/>
      <c r="X20" s="55" t="s">
        <v>291</v>
      </c>
      <c r="Y20" s="55"/>
      <c r="Z20" s="56" t="str">
        <f t="shared" si="4"/>
        <v>Yes</v>
      </c>
      <c r="AA20" s="56" t="str">
        <f t="shared" si="5"/>
        <v>30 May,2023</v>
      </c>
    </row>
    <row r="21" spans="1:27" s="22" customFormat="1" ht="124.2" x14ac:dyDescent="0.3">
      <c r="A21" s="42"/>
      <c r="B21" s="58" t="s">
        <v>60</v>
      </c>
      <c r="C21" s="40" t="s">
        <v>132</v>
      </c>
      <c r="D21" s="40">
        <v>2</v>
      </c>
      <c r="E21" s="40">
        <v>1</v>
      </c>
      <c r="F21" s="40">
        <v>2</v>
      </c>
      <c r="G21" s="45">
        <v>5</v>
      </c>
      <c r="H21" s="44" t="s">
        <v>216</v>
      </c>
      <c r="I21" s="44" t="s">
        <v>217</v>
      </c>
      <c r="J21" s="51">
        <v>2</v>
      </c>
      <c r="K21" s="41">
        <v>2</v>
      </c>
      <c r="L21" s="52">
        <f t="shared" si="6"/>
        <v>20</v>
      </c>
      <c r="M21" s="62" t="str">
        <f t="shared" si="7"/>
        <v>Low</v>
      </c>
      <c r="N21" s="83" t="s">
        <v>386</v>
      </c>
      <c r="O21" s="51">
        <v>1</v>
      </c>
      <c r="P21" s="51">
        <v>1</v>
      </c>
      <c r="Q21" s="53">
        <f t="shared" si="1"/>
        <v>5</v>
      </c>
      <c r="R21" s="62" t="str">
        <f t="shared" ref="R21:R57" si="9">IF(Q21&lt;=20,"Low",IF(Q21&lt;=40,"Medium",IF(Q21&lt;=81,"High")))</f>
        <v>Low</v>
      </c>
      <c r="S21" s="19" t="s">
        <v>387</v>
      </c>
      <c r="T21" s="57" t="s">
        <v>222</v>
      </c>
      <c r="U21" s="55" t="s">
        <v>318</v>
      </c>
      <c r="V21" s="55"/>
      <c r="W21" s="55"/>
      <c r="X21" s="55" t="s">
        <v>295</v>
      </c>
      <c r="Y21" s="55"/>
      <c r="Z21" s="56" t="str">
        <f t="shared" si="4"/>
        <v>Yes</v>
      </c>
      <c r="AA21" s="56" t="str">
        <f t="shared" si="5"/>
        <v>30 May,2023</v>
      </c>
    </row>
    <row r="22" spans="1:27" s="26" customFormat="1" ht="55.2" x14ac:dyDescent="0.3">
      <c r="A22" s="42"/>
      <c r="B22" s="58" t="s">
        <v>60</v>
      </c>
      <c r="C22" s="40" t="s">
        <v>132</v>
      </c>
      <c r="D22" s="40">
        <v>2</v>
      </c>
      <c r="E22" s="40">
        <v>1</v>
      </c>
      <c r="F22" s="40">
        <v>2</v>
      </c>
      <c r="G22" s="45">
        <v>5</v>
      </c>
      <c r="H22" s="44" t="s">
        <v>218</v>
      </c>
      <c r="I22" s="44" t="s">
        <v>219</v>
      </c>
      <c r="J22" s="51">
        <v>2</v>
      </c>
      <c r="K22" s="41">
        <v>2</v>
      </c>
      <c r="L22" s="52">
        <f t="shared" si="6"/>
        <v>20</v>
      </c>
      <c r="M22" s="62" t="str">
        <f t="shared" si="7"/>
        <v>Low</v>
      </c>
      <c r="N22" s="83" t="s">
        <v>299</v>
      </c>
      <c r="O22" s="51">
        <v>1</v>
      </c>
      <c r="P22" s="51">
        <v>1</v>
      </c>
      <c r="Q22" s="53">
        <f t="shared" si="1"/>
        <v>5</v>
      </c>
      <c r="R22" s="62" t="str">
        <f t="shared" si="9"/>
        <v>Low</v>
      </c>
      <c r="S22" s="87" t="s">
        <v>388</v>
      </c>
      <c r="T22" s="57" t="s">
        <v>389</v>
      </c>
      <c r="U22" s="55" t="s">
        <v>318</v>
      </c>
      <c r="V22" s="55"/>
      <c r="W22" s="55"/>
      <c r="X22" s="55" t="s">
        <v>295</v>
      </c>
      <c r="Y22" s="55"/>
      <c r="Z22" s="56" t="str">
        <f t="shared" si="4"/>
        <v>Yes</v>
      </c>
      <c r="AA22" s="56" t="str">
        <f t="shared" si="5"/>
        <v>30 May,2023</v>
      </c>
    </row>
    <row r="23" spans="1:27" s="26" customFormat="1" ht="41.4" x14ac:dyDescent="0.3">
      <c r="A23" s="42"/>
      <c r="B23" s="58" t="s">
        <v>60</v>
      </c>
      <c r="C23" s="40" t="s">
        <v>132</v>
      </c>
      <c r="D23" s="40">
        <v>2</v>
      </c>
      <c r="E23" s="40">
        <v>1</v>
      </c>
      <c r="F23" s="40">
        <v>2</v>
      </c>
      <c r="G23" s="45">
        <v>5</v>
      </c>
      <c r="H23" s="44" t="s">
        <v>220</v>
      </c>
      <c r="I23" s="44" t="s">
        <v>221</v>
      </c>
      <c r="J23" s="51">
        <v>2</v>
      </c>
      <c r="K23" s="41">
        <v>2</v>
      </c>
      <c r="L23" s="52">
        <f t="shared" si="6"/>
        <v>20</v>
      </c>
      <c r="M23" s="62" t="str">
        <f t="shared" si="7"/>
        <v>Low</v>
      </c>
      <c r="N23" s="63" t="s">
        <v>315</v>
      </c>
      <c r="O23" s="51">
        <v>1</v>
      </c>
      <c r="P23" s="51">
        <v>1</v>
      </c>
      <c r="Q23" s="53">
        <f t="shared" si="1"/>
        <v>5</v>
      </c>
      <c r="R23" s="62" t="str">
        <f t="shared" si="9"/>
        <v>Low</v>
      </c>
      <c r="S23" s="81" t="s">
        <v>382</v>
      </c>
      <c r="T23" s="57" t="s">
        <v>223</v>
      </c>
      <c r="U23" s="55" t="s">
        <v>318</v>
      </c>
      <c r="V23" s="55"/>
      <c r="W23" s="55"/>
      <c r="X23" s="55" t="s">
        <v>295</v>
      </c>
      <c r="Y23" s="55"/>
      <c r="Z23" s="56" t="str">
        <f t="shared" si="4"/>
        <v>Yes</v>
      </c>
      <c r="AA23" s="56" t="str">
        <f t="shared" si="5"/>
        <v>30 May,2023</v>
      </c>
    </row>
    <row r="24" spans="1:27" s="26" customFormat="1" ht="52.8" x14ac:dyDescent="0.3">
      <c r="A24" s="42"/>
      <c r="B24" s="58" t="s">
        <v>60</v>
      </c>
      <c r="C24" s="40" t="s">
        <v>132</v>
      </c>
      <c r="D24" s="40">
        <v>2</v>
      </c>
      <c r="E24" s="40">
        <v>1</v>
      </c>
      <c r="F24" s="40">
        <v>2</v>
      </c>
      <c r="G24" s="45">
        <v>5</v>
      </c>
      <c r="H24" s="44" t="s">
        <v>211</v>
      </c>
      <c r="I24" s="44" t="s">
        <v>416</v>
      </c>
      <c r="J24" s="51">
        <v>2</v>
      </c>
      <c r="K24" s="41">
        <v>2</v>
      </c>
      <c r="L24" s="52">
        <f t="shared" si="6"/>
        <v>20</v>
      </c>
      <c r="M24" s="62" t="str">
        <f t="shared" si="7"/>
        <v>Low</v>
      </c>
      <c r="N24" s="83" t="s">
        <v>415</v>
      </c>
      <c r="O24" s="51">
        <v>2</v>
      </c>
      <c r="P24" s="51">
        <v>2</v>
      </c>
      <c r="Q24" s="53">
        <f t="shared" si="1"/>
        <v>20</v>
      </c>
      <c r="R24" s="62" t="str">
        <f t="shared" si="9"/>
        <v>Low</v>
      </c>
      <c r="S24" s="19" t="s">
        <v>391</v>
      </c>
      <c r="T24" s="80" t="s">
        <v>392</v>
      </c>
      <c r="U24" s="55" t="s">
        <v>318</v>
      </c>
      <c r="V24" s="55"/>
      <c r="W24" s="55"/>
      <c r="X24" s="55" t="s">
        <v>295</v>
      </c>
      <c r="Y24" s="55"/>
      <c r="Z24" s="56" t="str">
        <f t="shared" si="4"/>
        <v>Yes</v>
      </c>
      <c r="AA24" s="56" t="str">
        <f t="shared" si="5"/>
        <v>30 May,2023</v>
      </c>
    </row>
    <row r="25" spans="1:27" s="26" customFormat="1" ht="124.2" x14ac:dyDescent="0.3">
      <c r="A25" s="42"/>
      <c r="B25" s="64" t="s">
        <v>71</v>
      </c>
      <c r="C25" s="40" t="s">
        <v>139</v>
      </c>
      <c r="D25" s="40">
        <v>2</v>
      </c>
      <c r="E25" s="40">
        <v>1</v>
      </c>
      <c r="F25" s="40">
        <v>2</v>
      </c>
      <c r="G25" s="45">
        <v>5</v>
      </c>
      <c r="H25" s="44" t="s">
        <v>216</v>
      </c>
      <c r="I25" s="44" t="s">
        <v>217</v>
      </c>
      <c r="J25" s="51">
        <v>2</v>
      </c>
      <c r="K25" s="41">
        <v>2</v>
      </c>
      <c r="L25" s="52">
        <f t="shared" si="6"/>
        <v>20</v>
      </c>
      <c r="M25" s="62" t="str">
        <f t="shared" si="7"/>
        <v>Low</v>
      </c>
      <c r="N25" s="83" t="s">
        <v>386</v>
      </c>
      <c r="O25" s="51">
        <v>1</v>
      </c>
      <c r="P25" s="51">
        <v>1</v>
      </c>
      <c r="Q25" s="53">
        <f t="shared" si="1"/>
        <v>5</v>
      </c>
      <c r="R25" s="62" t="str">
        <f t="shared" si="9"/>
        <v>Low</v>
      </c>
      <c r="S25" s="19" t="s">
        <v>387</v>
      </c>
      <c r="T25" s="57" t="s">
        <v>222</v>
      </c>
      <c r="U25" s="55" t="s">
        <v>318</v>
      </c>
      <c r="V25" s="55"/>
      <c r="W25" s="55"/>
      <c r="X25" s="55" t="s">
        <v>291</v>
      </c>
      <c r="Y25" s="55"/>
      <c r="Z25" s="56" t="str">
        <f t="shared" si="4"/>
        <v>Yes</v>
      </c>
      <c r="AA25" s="56" t="str">
        <f t="shared" si="5"/>
        <v>30 May,2023</v>
      </c>
    </row>
    <row r="26" spans="1:27" s="26" customFormat="1" ht="55.2" x14ac:dyDescent="0.3">
      <c r="A26" s="42"/>
      <c r="B26" s="64" t="s">
        <v>71</v>
      </c>
      <c r="C26" s="40" t="s">
        <v>139</v>
      </c>
      <c r="D26" s="40">
        <v>2</v>
      </c>
      <c r="E26" s="40">
        <v>1</v>
      </c>
      <c r="F26" s="40">
        <v>2</v>
      </c>
      <c r="G26" s="45">
        <v>5</v>
      </c>
      <c r="H26" s="44" t="s">
        <v>218</v>
      </c>
      <c r="I26" s="44" t="s">
        <v>219</v>
      </c>
      <c r="J26" s="51">
        <v>2</v>
      </c>
      <c r="K26" s="41">
        <v>2</v>
      </c>
      <c r="L26" s="52">
        <f t="shared" si="6"/>
        <v>20</v>
      </c>
      <c r="M26" s="62" t="str">
        <f t="shared" si="7"/>
        <v>Low</v>
      </c>
      <c r="N26" s="83" t="s">
        <v>299</v>
      </c>
      <c r="O26" s="51">
        <v>1</v>
      </c>
      <c r="P26" s="51">
        <v>1</v>
      </c>
      <c r="Q26" s="53">
        <f t="shared" si="1"/>
        <v>5</v>
      </c>
      <c r="R26" s="62" t="str">
        <f t="shared" si="9"/>
        <v>Low</v>
      </c>
      <c r="S26" s="87" t="s">
        <v>388</v>
      </c>
      <c r="T26" s="57" t="s">
        <v>389</v>
      </c>
      <c r="U26" s="55" t="s">
        <v>318</v>
      </c>
      <c r="V26" s="55"/>
      <c r="W26" s="55"/>
      <c r="X26" s="55" t="s">
        <v>291</v>
      </c>
      <c r="Y26" s="55"/>
      <c r="Z26" s="56" t="str">
        <f t="shared" si="4"/>
        <v>Yes</v>
      </c>
      <c r="AA26" s="56" t="str">
        <f t="shared" si="5"/>
        <v>30 May,2023</v>
      </c>
    </row>
    <row r="27" spans="1:27" s="26" customFormat="1" ht="41.4" x14ac:dyDescent="0.3">
      <c r="A27" s="42"/>
      <c r="B27" s="64" t="s">
        <v>71</v>
      </c>
      <c r="C27" s="40" t="s">
        <v>139</v>
      </c>
      <c r="D27" s="40">
        <v>2</v>
      </c>
      <c r="E27" s="40">
        <v>1</v>
      </c>
      <c r="F27" s="40">
        <v>2</v>
      </c>
      <c r="G27" s="45">
        <v>5</v>
      </c>
      <c r="H27" s="44" t="s">
        <v>220</v>
      </c>
      <c r="I27" s="44" t="s">
        <v>221</v>
      </c>
      <c r="J27" s="51">
        <v>2</v>
      </c>
      <c r="K27" s="41">
        <v>2</v>
      </c>
      <c r="L27" s="52">
        <f t="shared" si="6"/>
        <v>20</v>
      </c>
      <c r="M27" s="62" t="str">
        <f t="shared" si="7"/>
        <v>Low</v>
      </c>
      <c r="N27" s="63" t="s">
        <v>315</v>
      </c>
      <c r="O27" s="51">
        <v>1</v>
      </c>
      <c r="P27" s="51">
        <v>1</v>
      </c>
      <c r="Q27" s="53">
        <f t="shared" si="1"/>
        <v>5</v>
      </c>
      <c r="R27" s="62" t="str">
        <f t="shared" si="9"/>
        <v>Low</v>
      </c>
      <c r="S27" s="81" t="s">
        <v>382</v>
      </c>
      <c r="T27" s="57" t="s">
        <v>223</v>
      </c>
      <c r="U27" s="55" t="s">
        <v>318</v>
      </c>
      <c r="V27" s="55"/>
      <c r="W27" s="55"/>
      <c r="X27" s="55" t="s">
        <v>291</v>
      </c>
      <c r="Y27" s="55"/>
      <c r="Z27" s="56" t="str">
        <f t="shared" si="4"/>
        <v>Yes</v>
      </c>
      <c r="AA27" s="56" t="str">
        <f t="shared" si="5"/>
        <v>30 May,2023</v>
      </c>
    </row>
    <row r="28" spans="1:27" s="26" customFormat="1" ht="52.8" x14ac:dyDescent="0.3">
      <c r="A28" s="42"/>
      <c r="B28" s="64" t="s">
        <v>71</v>
      </c>
      <c r="C28" s="40" t="s">
        <v>139</v>
      </c>
      <c r="D28" s="40">
        <v>2</v>
      </c>
      <c r="E28" s="40">
        <v>1</v>
      </c>
      <c r="F28" s="40">
        <v>2</v>
      </c>
      <c r="G28" s="45">
        <v>5</v>
      </c>
      <c r="H28" s="44" t="s">
        <v>211</v>
      </c>
      <c r="I28" s="44" t="s">
        <v>416</v>
      </c>
      <c r="J28" s="51">
        <v>2</v>
      </c>
      <c r="K28" s="41">
        <v>2</v>
      </c>
      <c r="L28" s="52">
        <f t="shared" si="6"/>
        <v>20</v>
      </c>
      <c r="M28" s="62" t="str">
        <f t="shared" si="7"/>
        <v>Low</v>
      </c>
      <c r="N28" s="83" t="s">
        <v>415</v>
      </c>
      <c r="O28" s="51">
        <v>2</v>
      </c>
      <c r="P28" s="51">
        <v>2</v>
      </c>
      <c r="Q28" s="53">
        <f t="shared" si="1"/>
        <v>20</v>
      </c>
      <c r="R28" s="62" t="str">
        <f t="shared" si="9"/>
        <v>Low</v>
      </c>
      <c r="S28" s="19" t="s">
        <v>391</v>
      </c>
      <c r="T28" s="80" t="s">
        <v>392</v>
      </c>
      <c r="U28" s="55" t="s">
        <v>318</v>
      </c>
      <c r="V28" s="55"/>
      <c r="W28" s="55"/>
      <c r="X28" s="55" t="s">
        <v>291</v>
      </c>
      <c r="Y28" s="55"/>
      <c r="Z28" s="56" t="str">
        <f t="shared" si="4"/>
        <v>Yes</v>
      </c>
      <c r="AA28" s="56" t="str">
        <f t="shared" si="5"/>
        <v>30 May,2023</v>
      </c>
    </row>
    <row r="29" spans="1:27" s="26" customFormat="1" ht="55.2" x14ac:dyDescent="0.3">
      <c r="A29" s="42"/>
      <c r="B29" s="58" t="s">
        <v>90</v>
      </c>
      <c r="C29" s="40" t="s">
        <v>150</v>
      </c>
      <c r="D29" s="40">
        <v>2</v>
      </c>
      <c r="E29" s="40">
        <v>2</v>
      </c>
      <c r="F29" s="40">
        <v>2</v>
      </c>
      <c r="G29" s="45">
        <v>6</v>
      </c>
      <c r="H29" s="44" t="s">
        <v>218</v>
      </c>
      <c r="I29" s="44" t="s">
        <v>219</v>
      </c>
      <c r="J29" s="51">
        <v>2</v>
      </c>
      <c r="K29" s="51">
        <v>2</v>
      </c>
      <c r="L29" s="52">
        <f t="shared" ref="L29:L32" si="10">K29*J29*G29</f>
        <v>24</v>
      </c>
      <c r="M29" s="61" t="str">
        <f t="shared" si="7"/>
        <v>Medium</v>
      </c>
      <c r="N29" s="83" t="s">
        <v>299</v>
      </c>
      <c r="O29" s="51">
        <v>1</v>
      </c>
      <c r="P29" s="51">
        <v>1</v>
      </c>
      <c r="Q29" s="53">
        <f t="shared" si="1"/>
        <v>6</v>
      </c>
      <c r="R29" s="62" t="str">
        <f t="shared" si="9"/>
        <v>Low</v>
      </c>
      <c r="S29" s="87" t="s">
        <v>388</v>
      </c>
      <c r="T29" s="57" t="s">
        <v>389</v>
      </c>
      <c r="U29" s="55" t="s">
        <v>318</v>
      </c>
      <c r="V29" s="55"/>
      <c r="W29" s="55"/>
      <c r="X29" s="55" t="s">
        <v>291</v>
      </c>
      <c r="Y29" s="55"/>
      <c r="Z29" s="56" t="str">
        <f t="shared" si="4"/>
        <v>Yes</v>
      </c>
      <c r="AA29" s="56" t="str">
        <f t="shared" si="5"/>
        <v>30 May,2023</v>
      </c>
    </row>
    <row r="30" spans="1:27" s="26" customFormat="1" ht="124.2" x14ac:dyDescent="0.3">
      <c r="A30" s="42"/>
      <c r="B30" s="44" t="s">
        <v>93</v>
      </c>
      <c r="C30" s="40" t="s">
        <v>154</v>
      </c>
      <c r="D30" s="40">
        <v>3</v>
      </c>
      <c r="E30" s="40">
        <v>3</v>
      </c>
      <c r="F30" s="40">
        <v>3</v>
      </c>
      <c r="G30" s="45">
        <v>9</v>
      </c>
      <c r="H30" s="44" t="s">
        <v>216</v>
      </c>
      <c r="I30" s="44" t="s">
        <v>217</v>
      </c>
      <c r="J30" s="51">
        <v>2</v>
      </c>
      <c r="K30" s="51">
        <v>2</v>
      </c>
      <c r="L30" s="52">
        <f t="shared" si="10"/>
        <v>36</v>
      </c>
      <c r="M30" s="61" t="str">
        <f t="shared" si="7"/>
        <v>Medium</v>
      </c>
      <c r="N30" s="83" t="s">
        <v>386</v>
      </c>
      <c r="O30" s="51">
        <v>1</v>
      </c>
      <c r="P30" s="51">
        <v>1</v>
      </c>
      <c r="Q30" s="53">
        <f t="shared" si="1"/>
        <v>9</v>
      </c>
      <c r="R30" s="62" t="str">
        <f t="shared" si="9"/>
        <v>Low</v>
      </c>
      <c r="S30" s="19" t="s">
        <v>387</v>
      </c>
      <c r="T30" s="57" t="s">
        <v>222</v>
      </c>
      <c r="U30" s="55" t="s">
        <v>318</v>
      </c>
      <c r="V30" s="55"/>
      <c r="W30" s="55"/>
      <c r="X30" s="55" t="s">
        <v>291</v>
      </c>
      <c r="Y30" s="55"/>
      <c r="Z30" s="56" t="str">
        <f t="shared" si="4"/>
        <v>Yes</v>
      </c>
      <c r="AA30" s="56" t="str">
        <f t="shared" si="5"/>
        <v>30 May,2023</v>
      </c>
    </row>
    <row r="31" spans="1:27" s="26" customFormat="1" ht="55.2" x14ac:dyDescent="0.3">
      <c r="A31" s="42"/>
      <c r="B31" s="44" t="s">
        <v>93</v>
      </c>
      <c r="C31" s="40" t="s">
        <v>154</v>
      </c>
      <c r="D31" s="40">
        <v>3</v>
      </c>
      <c r="E31" s="40">
        <v>3</v>
      </c>
      <c r="F31" s="40">
        <v>3</v>
      </c>
      <c r="G31" s="45">
        <v>9</v>
      </c>
      <c r="H31" s="44" t="s">
        <v>218</v>
      </c>
      <c r="I31" s="44" t="s">
        <v>219</v>
      </c>
      <c r="J31" s="51">
        <v>2</v>
      </c>
      <c r="K31" s="51">
        <v>2</v>
      </c>
      <c r="L31" s="52">
        <f t="shared" si="10"/>
        <v>36</v>
      </c>
      <c r="M31" s="61" t="str">
        <f t="shared" si="7"/>
        <v>Medium</v>
      </c>
      <c r="N31" s="83" t="s">
        <v>299</v>
      </c>
      <c r="O31" s="51">
        <v>1</v>
      </c>
      <c r="P31" s="51">
        <v>1</v>
      </c>
      <c r="Q31" s="53">
        <f t="shared" si="1"/>
        <v>9</v>
      </c>
      <c r="R31" s="62" t="str">
        <f t="shared" si="9"/>
        <v>Low</v>
      </c>
      <c r="S31" s="87" t="s">
        <v>388</v>
      </c>
      <c r="T31" s="57" t="s">
        <v>389</v>
      </c>
      <c r="U31" s="55" t="s">
        <v>318</v>
      </c>
      <c r="V31" s="55"/>
      <c r="W31" s="55"/>
      <c r="X31" s="55" t="s">
        <v>291</v>
      </c>
      <c r="Y31" s="55"/>
      <c r="Z31" s="56" t="str">
        <f t="shared" si="4"/>
        <v>Yes</v>
      </c>
      <c r="AA31" s="56" t="str">
        <f t="shared" si="5"/>
        <v>30 May,2023</v>
      </c>
    </row>
    <row r="32" spans="1:27" s="26" customFormat="1" ht="41.4" x14ac:dyDescent="0.3">
      <c r="A32" s="42"/>
      <c r="B32" s="44" t="s">
        <v>93</v>
      </c>
      <c r="C32" s="40" t="s">
        <v>154</v>
      </c>
      <c r="D32" s="40">
        <v>3</v>
      </c>
      <c r="E32" s="40">
        <v>3</v>
      </c>
      <c r="F32" s="40">
        <v>3</v>
      </c>
      <c r="G32" s="45">
        <v>9</v>
      </c>
      <c r="H32" s="44" t="s">
        <v>220</v>
      </c>
      <c r="I32" s="44" t="s">
        <v>221</v>
      </c>
      <c r="J32" s="51">
        <v>2</v>
      </c>
      <c r="K32" s="51">
        <v>2</v>
      </c>
      <c r="L32" s="52">
        <f t="shared" si="10"/>
        <v>36</v>
      </c>
      <c r="M32" s="61" t="str">
        <f t="shared" si="7"/>
        <v>Medium</v>
      </c>
      <c r="N32" s="63" t="s">
        <v>315</v>
      </c>
      <c r="O32" s="51">
        <v>1</v>
      </c>
      <c r="P32" s="51">
        <v>1</v>
      </c>
      <c r="Q32" s="53">
        <f t="shared" si="1"/>
        <v>9</v>
      </c>
      <c r="R32" s="62" t="str">
        <f t="shared" si="9"/>
        <v>Low</v>
      </c>
      <c r="S32" s="81" t="s">
        <v>382</v>
      </c>
      <c r="T32" s="57" t="s">
        <v>223</v>
      </c>
      <c r="U32" s="55" t="s">
        <v>318</v>
      </c>
      <c r="V32" s="55"/>
      <c r="W32" s="55"/>
      <c r="X32" s="55" t="s">
        <v>291</v>
      </c>
      <c r="Y32" s="55"/>
      <c r="Z32" s="56" t="str">
        <f t="shared" si="4"/>
        <v>Yes</v>
      </c>
      <c r="AA32" s="56" t="str">
        <f t="shared" si="5"/>
        <v>30 May,2023</v>
      </c>
    </row>
    <row r="33" spans="1:27" s="26" customFormat="1" ht="82.8" x14ac:dyDescent="0.3">
      <c r="A33" s="42"/>
      <c r="B33" s="44" t="s">
        <v>173</v>
      </c>
      <c r="C33" s="40" t="s">
        <v>193</v>
      </c>
      <c r="D33" s="40">
        <v>2</v>
      </c>
      <c r="E33" s="40">
        <v>2</v>
      </c>
      <c r="F33" s="40">
        <v>2</v>
      </c>
      <c r="G33" s="45">
        <v>6</v>
      </c>
      <c r="H33" s="42" t="s">
        <v>42</v>
      </c>
      <c r="I33" s="43" t="s">
        <v>204</v>
      </c>
      <c r="J33" s="51">
        <v>2</v>
      </c>
      <c r="K33" s="51">
        <v>2</v>
      </c>
      <c r="L33" s="52">
        <f t="shared" si="6"/>
        <v>24</v>
      </c>
      <c r="M33" s="61" t="str">
        <f t="shared" si="7"/>
        <v>Medium</v>
      </c>
      <c r="N33" s="84" t="s">
        <v>385</v>
      </c>
      <c r="O33" s="51">
        <v>1</v>
      </c>
      <c r="P33" s="51">
        <v>1</v>
      </c>
      <c r="Q33" s="53">
        <f t="shared" si="1"/>
        <v>6</v>
      </c>
      <c r="R33" s="62" t="str">
        <f t="shared" si="9"/>
        <v>Low</v>
      </c>
      <c r="S33" s="19" t="s">
        <v>384</v>
      </c>
      <c r="T33" s="57" t="s">
        <v>213</v>
      </c>
      <c r="U33" s="55" t="s">
        <v>318</v>
      </c>
      <c r="V33" s="55"/>
      <c r="W33" s="55"/>
      <c r="X33" s="55" t="s">
        <v>293</v>
      </c>
      <c r="Y33" s="55"/>
      <c r="Z33" s="56" t="str">
        <f t="shared" si="4"/>
        <v>Yes</v>
      </c>
      <c r="AA33" s="56" t="str">
        <f t="shared" si="5"/>
        <v>30 May,2023</v>
      </c>
    </row>
    <row r="34" spans="1:27" s="26" customFormat="1" ht="124.2" x14ac:dyDescent="0.3">
      <c r="A34" s="42"/>
      <c r="B34" s="44" t="s">
        <v>173</v>
      </c>
      <c r="C34" s="40" t="s">
        <v>193</v>
      </c>
      <c r="D34" s="40">
        <v>2</v>
      </c>
      <c r="E34" s="40">
        <v>2</v>
      </c>
      <c r="F34" s="40">
        <v>2</v>
      </c>
      <c r="G34" s="45">
        <v>6</v>
      </c>
      <c r="H34" s="44" t="s">
        <v>216</v>
      </c>
      <c r="I34" s="44" t="s">
        <v>217</v>
      </c>
      <c r="J34" s="51">
        <v>2</v>
      </c>
      <c r="K34" s="51">
        <v>2</v>
      </c>
      <c r="L34" s="52">
        <f t="shared" si="6"/>
        <v>24</v>
      </c>
      <c r="M34" s="61" t="str">
        <f t="shared" si="7"/>
        <v>Medium</v>
      </c>
      <c r="N34" s="83" t="s">
        <v>386</v>
      </c>
      <c r="O34" s="51">
        <v>1</v>
      </c>
      <c r="P34" s="51">
        <v>1</v>
      </c>
      <c r="Q34" s="53">
        <f t="shared" si="1"/>
        <v>6</v>
      </c>
      <c r="R34" s="62" t="str">
        <f t="shared" si="9"/>
        <v>Low</v>
      </c>
      <c r="S34" s="19" t="s">
        <v>387</v>
      </c>
      <c r="T34" s="57" t="s">
        <v>222</v>
      </c>
      <c r="U34" s="55" t="s">
        <v>318</v>
      </c>
      <c r="V34" s="55"/>
      <c r="W34" s="55"/>
      <c r="X34" s="55" t="s">
        <v>293</v>
      </c>
      <c r="Y34" s="55"/>
      <c r="Z34" s="56" t="str">
        <f t="shared" si="4"/>
        <v>Yes</v>
      </c>
      <c r="AA34" s="56" t="str">
        <f t="shared" si="5"/>
        <v>30 May,2023</v>
      </c>
    </row>
    <row r="35" spans="1:27" s="26" customFormat="1" ht="55.2" x14ac:dyDescent="0.3">
      <c r="A35" s="42"/>
      <c r="B35" s="44" t="s">
        <v>173</v>
      </c>
      <c r="C35" s="40" t="s">
        <v>193</v>
      </c>
      <c r="D35" s="40">
        <v>2</v>
      </c>
      <c r="E35" s="40">
        <v>2</v>
      </c>
      <c r="F35" s="40">
        <v>2</v>
      </c>
      <c r="G35" s="45">
        <v>6</v>
      </c>
      <c r="H35" s="44" t="s">
        <v>218</v>
      </c>
      <c r="I35" s="44" t="s">
        <v>219</v>
      </c>
      <c r="J35" s="51">
        <v>2</v>
      </c>
      <c r="K35" s="51">
        <v>2</v>
      </c>
      <c r="L35" s="52">
        <f t="shared" si="6"/>
        <v>24</v>
      </c>
      <c r="M35" s="61" t="str">
        <f t="shared" si="7"/>
        <v>Medium</v>
      </c>
      <c r="N35" s="83" t="s">
        <v>299</v>
      </c>
      <c r="O35" s="51">
        <v>1</v>
      </c>
      <c r="P35" s="51">
        <v>1</v>
      </c>
      <c r="Q35" s="53">
        <f t="shared" si="1"/>
        <v>6</v>
      </c>
      <c r="R35" s="62" t="str">
        <f t="shared" si="9"/>
        <v>Low</v>
      </c>
      <c r="S35" s="87" t="s">
        <v>388</v>
      </c>
      <c r="T35" s="57" t="s">
        <v>389</v>
      </c>
      <c r="U35" s="55" t="s">
        <v>318</v>
      </c>
      <c r="V35" s="55"/>
      <c r="W35" s="55"/>
      <c r="X35" s="55" t="s">
        <v>293</v>
      </c>
      <c r="Y35" s="55"/>
      <c r="Z35" s="56" t="str">
        <f t="shared" si="4"/>
        <v>Yes</v>
      </c>
      <c r="AA35" s="56" t="str">
        <f t="shared" si="5"/>
        <v>30 May,2023</v>
      </c>
    </row>
    <row r="36" spans="1:27" s="26" customFormat="1" ht="41.4" x14ac:dyDescent="0.3">
      <c r="A36" s="42"/>
      <c r="B36" s="44" t="s">
        <v>173</v>
      </c>
      <c r="C36" s="40" t="s">
        <v>193</v>
      </c>
      <c r="D36" s="40">
        <v>2</v>
      </c>
      <c r="E36" s="40">
        <v>2</v>
      </c>
      <c r="F36" s="40">
        <v>2</v>
      </c>
      <c r="G36" s="45">
        <v>6</v>
      </c>
      <c r="H36" s="44" t="s">
        <v>220</v>
      </c>
      <c r="I36" s="44" t="s">
        <v>221</v>
      </c>
      <c r="J36" s="51">
        <v>2</v>
      </c>
      <c r="K36" s="51">
        <v>2</v>
      </c>
      <c r="L36" s="52">
        <f t="shared" si="6"/>
        <v>24</v>
      </c>
      <c r="M36" s="61" t="str">
        <f t="shared" si="7"/>
        <v>Medium</v>
      </c>
      <c r="N36" s="63" t="s">
        <v>315</v>
      </c>
      <c r="O36" s="51">
        <v>1</v>
      </c>
      <c r="P36" s="51">
        <v>1</v>
      </c>
      <c r="Q36" s="53">
        <f t="shared" si="1"/>
        <v>6</v>
      </c>
      <c r="R36" s="62" t="str">
        <f t="shared" si="9"/>
        <v>Low</v>
      </c>
      <c r="S36" s="81" t="s">
        <v>382</v>
      </c>
      <c r="T36" s="57" t="s">
        <v>223</v>
      </c>
      <c r="U36" s="55" t="s">
        <v>318</v>
      </c>
      <c r="V36" s="55"/>
      <c r="W36" s="55"/>
      <c r="X36" s="55" t="s">
        <v>293</v>
      </c>
      <c r="Y36" s="55"/>
      <c r="Z36" s="56" t="str">
        <f t="shared" si="4"/>
        <v>Yes</v>
      </c>
      <c r="AA36" s="56" t="str">
        <f t="shared" si="5"/>
        <v>30 May,2023</v>
      </c>
    </row>
    <row r="37" spans="1:27" s="26" customFormat="1" ht="82.8" x14ac:dyDescent="0.3">
      <c r="A37" s="42"/>
      <c r="B37" s="44" t="s">
        <v>75</v>
      </c>
      <c r="C37" s="40" t="s">
        <v>141</v>
      </c>
      <c r="D37" s="40">
        <v>3</v>
      </c>
      <c r="E37" s="40">
        <v>3</v>
      </c>
      <c r="F37" s="40">
        <v>3</v>
      </c>
      <c r="G37" s="45">
        <v>9</v>
      </c>
      <c r="H37" s="42" t="s">
        <v>42</v>
      </c>
      <c r="I37" s="43" t="s">
        <v>204</v>
      </c>
      <c r="J37" s="51">
        <v>2</v>
      </c>
      <c r="K37" s="51">
        <v>2</v>
      </c>
      <c r="L37" s="52">
        <f t="shared" ref="L37:L56" si="11">K37*J37*G37</f>
        <v>36</v>
      </c>
      <c r="M37" s="61" t="str">
        <f t="shared" si="7"/>
        <v>Medium</v>
      </c>
      <c r="N37" s="84" t="s">
        <v>385</v>
      </c>
      <c r="O37" s="51">
        <v>1</v>
      </c>
      <c r="P37" s="51">
        <v>1</v>
      </c>
      <c r="Q37" s="53">
        <f t="shared" si="1"/>
        <v>9</v>
      </c>
      <c r="R37" s="62" t="str">
        <f t="shared" si="9"/>
        <v>Low</v>
      </c>
      <c r="S37" s="19" t="s">
        <v>384</v>
      </c>
      <c r="T37" s="57" t="s">
        <v>213</v>
      </c>
      <c r="U37" s="55" t="s">
        <v>318</v>
      </c>
      <c r="V37" s="55"/>
      <c r="W37" s="55"/>
      <c r="X37" s="55" t="s">
        <v>294</v>
      </c>
      <c r="Y37" s="55"/>
      <c r="Z37" s="56" t="str">
        <f t="shared" si="4"/>
        <v>Yes</v>
      </c>
      <c r="AA37" s="56" t="str">
        <f t="shared" si="5"/>
        <v>30 May,2023</v>
      </c>
    </row>
    <row r="38" spans="1:27" s="26" customFormat="1" ht="124.2" x14ac:dyDescent="0.3">
      <c r="A38" s="42"/>
      <c r="B38" s="58" t="s">
        <v>73</v>
      </c>
      <c r="C38" s="40" t="s">
        <v>140</v>
      </c>
      <c r="D38" s="40">
        <v>2</v>
      </c>
      <c r="E38" s="40">
        <v>2</v>
      </c>
      <c r="F38" s="40">
        <v>2</v>
      </c>
      <c r="G38" s="45">
        <v>6</v>
      </c>
      <c r="H38" s="44" t="s">
        <v>216</v>
      </c>
      <c r="I38" s="44" t="s">
        <v>217</v>
      </c>
      <c r="J38" s="51">
        <v>2</v>
      </c>
      <c r="K38" s="51">
        <v>2</v>
      </c>
      <c r="L38" s="52">
        <f t="shared" si="11"/>
        <v>24</v>
      </c>
      <c r="M38" s="61" t="str">
        <f t="shared" si="7"/>
        <v>Medium</v>
      </c>
      <c r="N38" s="83" t="s">
        <v>386</v>
      </c>
      <c r="O38" s="51">
        <v>1</v>
      </c>
      <c r="P38" s="51">
        <v>1</v>
      </c>
      <c r="Q38" s="53">
        <f t="shared" si="1"/>
        <v>6</v>
      </c>
      <c r="R38" s="62" t="str">
        <f t="shared" si="9"/>
        <v>Low</v>
      </c>
      <c r="S38" s="19" t="s">
        <v>387</v>
      </c>
      <c r="T38" s="57" t="s">
        <v>222</v>
      </c>
      <c r="U38" s="55" t="s">
        <v>318</v>
      </c>
      <c r="V38" s="55"/>
      <c r="W38" s="55"/>
      <c r="X38" s="55" t="s">
        <v>294</v>
      </c>
      <c r="Y38" s="55"/>
      <c r="Z38" s="56" t="str">
        <f t="shared" si="4"/>
        <v>Yes</v>
      </c>
      <c r="AA38" s="56" t="str">
        <f t="shared" si="5"/>
        <v>30 May,2023</v>
      </c>
    </row>
    <row r="39" spans="1:27" s="26" customFormat="1" ht="55.2" x14ac:dyDescent="0.3">
      <c r="A39" s="42"/>
      <c r="B39" s="58" t="s">
        <v>73</v>
      </c>
      <c r="C39" s="40" t="s">
        <v>140</v>
      </c>
      <c r="D39" s="40">
        <v>2</v>
      </c>
      <c r="E39" s="40">
        <v>2</v>
      </c>
      <c r="F39" s="40">
        <v>2</v>
      </c>
      <c r="G39" s="45">
        <v>6</v>
      </c>
      <c r="H39" s="44" t="s">
        <v>218</v>
      </c>
      <c r="I39" s="44" t="s">
        <v>219</v>
      </c>
      <c r="J39" s="51">
        <v>2</v>
      </c>
      <c r="K39" s="51">
        <v>2</v>
      </c>
      <c r="L39" s="52">
        <f t="shared" si="11"/>
        <v>24</v>
      </c>
      <c r="M39" s="61" t="str">
        <f t="shared" si="7"/>
        <v>Medium</v>
      </c>
      <c r="N39" s="83" t="s">
        <v>299</v>
      </c>
      <c r="O39" s="51">
        <v>1</v>
      </c>
      <c r="P39" s="51">
        <v>1</v>
      </c>
      <c r="Q39" s="53">
        <f t="shared" si="1"/>
        <v>6</v>
      </c>
      <c r="R39" s="62" t="str">
        <f t="shared" si="9"/>
        <v>Low</v>
      </c>
      <c r="S39" s="87" t="s">
        <v>388</v>
      </c>
      <c r="T39" s="57" t="s">
        <v>389</v>
      </c>
      <c r="U39" s="55" t="s">
        <v>318</v>
      </c>
      <c r="V39" s="55"/>
      <c r="W39" s="55"/>
      <c r="X39" s="55" t="s">
        <v>294</v>
      </c>
      <c r="Y39" s="55"/>
      <c r="Z39" s="56" t="str">
        <f t="shared" si="4"/>
        <v>Yes</v>
      </c>
      <c r="AA39" s="56" t="str">
        <f t="shared" si="5"/>
        <v>30 May,2023</v>
      </c>
    </row>
    <row r="40" spans="1:27" s="26" customFormat="1" ht="41.4" x14ac:dyDescent="0.3">
      <c r="A40" s="42"/>
      <c r="B40" s="58" t="s">
        <v>73</v>
      </c>
      <c r="C40" s="40" t="s">
        <v>140</v>
      </c>
      <c r="D40" s="40">
        <v>2</v>
      </c>
      <c r="E40" s="40">
        <v>2</v>
      </c>
      <c r="F40" s="40">
        <v>2</v>
      </c>
      <c r="G40" s="45">
        <v>6</v>
      </c>
      <c r="H40" s="44" t="s">
        <v>220</v>
      </c>
      <c r="I40" s="44" t="s">
        <v>221</v>
      </c>
      <c r="J40" s="51">
        <v>2</v>
      </c>
      <c r="K40" s="51">
        <v>2</v>
      </c>
      <c r="L40" s="52">
        <f t="shared" si="11"/>
        <v>24</v>
      </c>
      <c r="M40" s="61" t="str">
        <f t="shared" si="7"/>
        <v>Medium</v>
      </c>
      <c r="N40" s="63" t="s">
        <v>315</v>
      </c>
      <c r="O40" s="51">
        <v>1</v>
      </c>
      <c r="P40" s="51">
        <v>1</v>
      </c>
      <c r="Q40" s="53">
        <f t="shared" si="1"/>
        <v>6</v>
      </c>
      <c r="R40" s="62" t="str">
        <f t="shared" si="9"/>
        <v>Low</v>
      </c>
      <c r="S40" s="81" t="s">
        <v>382</v>
      </c>
      <c r="T40" s="57" t="s">
        <v>223</v>
      </c>
      <c r="U40" s="55" t="s">
        <v>318</v>
      </c>
      <c r="V40" s="55"/>
      <c r="W40" s="55"/>
      <c r="X40" s="55" t="s">
        <v>294</v>
      </c>
      <c r="Y40" s="55"/>
      <c r="Z40" s="56" t="str">
        <f t="shared" si="4"/>
        <v>Yes</v>
      </c>
      <c r="AA40" s="56" t="str">
        <f t="shared" si="5"/>
        <v>30 May,2023</v>
      </c>
    </row>
    <row r="41" spans="1:27" s="26" customFormat="1" ht="41.4" x14ac:dyDescent="0.3">
      <c r="A41" s="42"/>
      <c r="B41" s="50" t="s">
        <v>179</v>
      </c>
      <c r="C41" s="40" t="s">
        <v>197</v>
      </c>
      <c r="D41" s="40">
        <v>2</v>
      </c>
      <c r="E41" s="40">
        <v>2</v>
      </c>
      <c r="F41" s="40">
        <v>2</v>
      </c>
      <c r="G41" s="45">
        <v>6</v>
      </c>
      <c r="H41" s="44" t="s">
        <v>208</v>
      </c>
      <c r="I41" s="44" t="s">
        <v>209</v>
      </c>
      <c r="J41" s="51">
        <v>2</v>
      </c>
      <c r="K41" s="51">
        <v>2</v>
      </c>
      <c r="L41" s="52">
        <f t="shared" si="11"/>
        <v>24</v>
      </c>
      <c r="M41" s="61" t="str">
        <f t="shared" si="7"/>
        <v>Medium</v>
      </c>
      <c r="N41" s="85" t="s">
        <v>313</v>
      </c>
      <c r="O41" s="51">
        <v>1</v>
      </c>
      <c r="P41" s="51">
        <v>1</v>
      </c>
      <c r="Q41" s="53">
        <f t="shared" si="1"/>
        <v>6</v>
      </c>
      <c r="R41" s="62" t="str">
        <f t="shared" si="9"/>
        <v>Low</v>
      </c>
      <c r="S41" s="88" t="s">
        <v>393</v>
      </c>
      <c r="T41" s="89" t="s">
        <v>314</v>
      </c>
      <c r="U41" s="55" t="s">
        <v>318</v>
      </c>
      <c r="V41" s="55"/>
      <c r="W41" s="55"/>
      <c r="X41" s="55" t="s">
        <v>294</v>
      </c>
      <c r="Y41" s="55"/>
      <c r="Z41" s="56" t="str">
        <f t="shared" si="4"/>
        <v>Yes</v>
      </c>
      <c r="AA41" s="56" t="str">
        <f t="shared" si="5"/>
        <v>30 May,2023</v>
      </c>
    </row>
    <row r="42" spans="1:27" s="26" customFormat="1" ht="41.4" x14ac:dyDescent="0.3">
      <c r="A42" s="42"/>
      <c r="B42" s="50" t="s">
        <v>180</v>
      </c>
      <c r="C42" s="40" t="s">
        <v>198</v>
      </c>
      <c r="D42" s="40">
        <v>2</v>
      </c>
      <c r="E42" s="40">
        <v>2</v>
      </c>
      <c r="F42" s="40">
        <v>2</v>
      </c>
      <c r="G42" s="45">
        <v>6</v>
      </c>
      <c r="H42" s="44" t="s">
        <v>208</v>
      </c>
      <c r="I42" s="44" t="s">
        <v>209</v>
      </c>
      <c r="J42" s="51">
        <v>2</v>
      </c>
      <c r="K42" s="51">
        <v>2</v>
      </c>
      <c r="L42" s="52">
        <f t="shared" si="11"/>
        <v>24</v>
      </c>
      <c r="M42" s="61" t="str">
        <f t="shared" si="7"/>
        <v>Medium</v>
      </c>
      <c r="N42" s="85" t="s">
        <v>313</v>
      </c>
      <c r="O42" s="51">
        <v>1</v>
      </c>
      <c r="P42" s="51">
        <v>1</v>
      </c>
      <c r="Q42" s="53">
        <f t="shared" si="1"/>
        <v>6</v>
      </c>
      <c r="R42" s="62" t="str">
        <f t="shared" si="9"/>
        <v>Low</v>
      </c>
      <c r="S42" s="88" t="s">
        <v>393</v>
      </c>
      <c r="T42" s="89" t="s">
        <v>314</v>
      </c>
      <c r="U42" s="55" t="s">
        <v>318</v>
      </c>
      <c r="V42" s="55"/>
      <c r="W42" s="55"/>
      <c r="X42" s="55" t="s">
        <v>294</v>
      </c>
      <c r="Y42" s="55"/>
      <c r="Z42" s="56" t="str">
        <f t="shared" si="4"/>
        <v>Yes</v>
      </c>
      <c r="AA42" s="56" t="str">
        <f t="shared" si="5"/>
        <v>30 May,2023</v>
      </c>
    </row>
    <row r="43" spans="1:27" s="26" customFormat="1" ht="145.19999999999999" x14ac:dyDescent="0.3">
      <c r="A43" s="41"/>
      <c r="B43" s="43" t="s">
        <v>224</v>
      </c>
      <c r="C43" s="45" t="s">
        <v>225</v>
      </c>
      <c r="D43" s="40">
        <v>2</v>
      </c>
      <c r="E43" s="40">
        <v>2</v>
      </c>
      <c r="F43" s="40">
        <v>2</v>
      </c>
      <c r="G43" s="45">
        <v>6</v>
      </c>
      <c r="H43" s="59" t="s">
        <v>226</v>
      </c>
      <c r="I43" s="59" t="s">
        <v>215</v>
      </c>
      <c r="J43" s="51">
        <v>2</v>
      </c>
      <c r="K43" s="51">
        <v>2</v>
      </c>
      <c r="L43" s="52">
        <f t="shared" si="11"/>
        <v>24</v>
      </c>
      <c r="M43" s="61" t="str">
        <f t="shared" si="7"/>
        <v>Medium</v>
      </c>
      <c r="N43" s="63" t="s">
        <v>316</v>
      </c>
      <c r="O43" s="51">
        <v>1</v>
      </c>
      <c r="P43" s="51">
        <v>1</v>
      </c>
      <c r="Q43" s="53">
        <f t="shared" si="1"/>
        <v>6</v>
      </c>
      <c r="R43" s="62" t="str">
        <f t="shared" si="9"/>
        <v>Low</v>
      </c>
      <c r="S43" s="19" t="s">
        <v>394</v>
      </c>
      <c r="T43" s="80" t="s">
        <v>312</v>
      </c>
      <c r="U43" s="55" t="s">
        <v>318</v>
      </c>
      <c r="V43" s="55"/>
      <c r="W43" s="55"/>
      <c r="X43" s="56" t="s">
        <v>317</v>
      </c>
      <c r="Y43" s="56"/>
      <c r="Z43" s="56" t="str">
        <f t="shared" si="4"/>
        <v>Yes</v>
      </c>
      <c r="AA43" s="56" t="str">
        <f t="shared" si="5"/>
        <v>30 May,2023</v>
      </c>
    </row>
    <row r="44" spans="1:27" s="26" customFormat="1" ht="66" x14ac:dyDescent="0.3">
      <c r="A44" s="41"/>
      <c r="B44" s="43" t="s">
        <v>227</v>
      </c>
      <c r="C44" s="45" t="s">
        <v>228</v>
      </c>
      <c r="D44" s="40">
        <v>3</v>
      </c>
      <c r="E44" s="40">
        <v>3</v>
      </c>
      <c r="F44" s="40">
        <v>3</v>
      </c>
      <c r="G44" s="45">
        <v>9</v>
      </c>
      <c r="H44" s="59" t="s">
        <v>229</v>
      </c>
      <c r="I44" s="59" t="s">
        <v>230</v>
      </c>
      <c r="J44" s="51">
        <v>2</v>
      </c>
      <c r="K44" s="51">
        <v>2</v>
      </c>
      <c r="L44" s="52">
        <f t="shared" si="11"/>
        <v>36</v>
      </c>
      <c r="M44" s="61" t="str">
        <f t="shared" si="7"/>
        <v>Medium</v>
      </c>
      <c r="N44" s="85" t="s">
        <v>162</v>
      </c>
      <c r="O44" s="51">
        <v>1</v>
      </c>
      <c r="P44" s="51">
        <v>1</v>
      </c>
      <c r="Q44" s="53">
        <f t="shared" ref="Q44:Q72" si="12">O44*P44*G44</f>
        <v>9</v>
      </c>
      <c r="R44" s="62" t="str">
        <f t="shared" si="9"/>
        <v>Low</v>
      </c>
      <c r="S44" s="19" t="s">
        <v>384</v>
      </c>
      <c r="T44" s="89" t="s">
        <v>310</v>
      </c>
      <c r="U44" s="55" t="s">
        <v>318</v>
      </c>
      <c r="V44" s="55"/>
      <c r="W44" s="55"/>
      <c r="X44" s="56" t="s">
        <v>317</v>
      </c>
      <c r="Y44" s="56"/>
      <c r="Z44" s="56" t="str">
        <f t="shared" si="4"/>
        <v>Yes</v>
      </c>
      <c r="AA44" s="56" t="str">
        <f t="shared" si="5"/>
        <v>30 May,2023</v>
      </c>
    </row>
    <row r="45" spans="1:27" s="26" customFormat="1" ht="55.2" x14ac:dyDescent="0.3">
      <c r="A45" s="41"/>
      <c r="B45" s="43" t="s">
        <v>231</v>
      </c>
      <c r="C45" s="45" t="s">
        <v>232</v>
      </c>
      <c r="D45" s="40">
        <v>3</v>
      </c>
      <c r="E45" s="40">
        <v>3</v>
      </c>
      <c r="F45" s="40">
        <v>3</v>
      </c>
      <c r="G45" s="45">
        <v>9</v>
      </c>
      <c r="H45" s="59" t="s">
        <v>218</v>
      </c>
      <c r="I45" s="59" t="s">
        <v>219</v>
      </c>
      <c r="J45" s="51">
        <v>2</v>
      </c>
      <c r="K45" s="51">
        <v>2</v>
      </c>
      <c r="L45" s="52">
        <f t="shared" si="11"/>
        <v>36</v>
      </c>
      <c r="M45" s="61" t="str">
        <f t="shared" si="7"/>
        <v>Medium</v>
      </c>
      <c r="N45" s="83" t="s">
        <v>299</v>
      </c>
      <c r="O45" s="51">
        <v>1</v>
      </c>
      <c r="P45" s="51">
        <v>1</v>
      </c>
      <c r="Q45" s="53">
        <f t="shared" si="12"/>
        <v>9</v>
      </c>
      <c r="R45" s="62" t="str">
        <f t="shared" si="9"/>
        <v>Low</v>
      </c>
      <c r="S45" s="87" t="s">
        <v>388</v>
      </c>
      <c r="T45" s="57" t="s">
        <v>389</v>
      </c>
      <c r="U45" s="55" t="s">
        <v>318</v>
      </c>
      <c r="V45" s="55"/>
      <c r="W45" s="55"/>
      <c r="X45" s="56" t="s">
        <v>317</v>
      </c>
      <c r="Y45" s="56"/>
      <c r="Z45" s="56" t="str">
        <f t="shared" si="4"/>
        <v>Yes</v>
      </c>
      <c r="AA45" s="56" t="str">
        <f t="shared" ref="AA45:AA72" si="13">IF(Z45="Yes","30 May,2023",IF(Z45="No","30 Aug,2022"))</f>
        <v>30 May,2023</v>
      </c>
    </row>
    <row r="46" spans="1:27" s="26" customFormat="1" ht="145.19999999999999" x14ac:dyDescent="0.3">
      <c r="A46" s="41"/>
      <c r="B46" s="43" t="s">
        <v>231</v>
      </c>
      <c r="C46" s="45" t="s">
        <v>232</v>
      </c>
      <c r="D46" s="40">
        <v>3</v>
      </c>
      <c r="E46" s="40">
        <v>3</v>
      </c>
      <c r="F46" s="40">
        <v>3</v>
      </c>
      <c r="G46" s="45">
        <v>9</v>
      </c>
      <c r="H46" s="59" t="s">
        <v>226</v>
      </c>
      <c r="I46" s="59" t="s">
        <v>215</v>
      </c>
      <c r="J46" s="51">
        <v>2</v>
      </c>
      <c r="K46" s="51">
        <v>2</v>
      </c>
      <c r="L46" s="52">
        <f t="shared" si="11"/>
        <v>36</v>
      </c>
      <c r="M46" s="61" t="str">
        <f t="shared" si="7"/>
        <v>Medium</v>
      </c>
      <c r="N46" s="63" t="s">
        <v>316</v>
      </c>
      <c r="O46" s="51">
        <v>1</v>
      </c>
      <c r="P46" s="51">
        <v>1</v>
      </c>
      <c r="Q46" s="53">
        <f t="shared" si="12"/>
        <v>9</v>
      </c>
      <c r="R46" s="62" t="str">
        <f t="shared" si="9"/>
        <v>Low</v>
      </c>
      <c r="S46" s="19" t="s">
        <v>394</v>
      </c>
      <c r="T46" s="80" t="s">
        <v>312</v>
      </c>
      <c r="U46" s="55" t="s">
        <v>318</v>
      </c>
      <c r="V46" s="55"/>
      <c r="W46" s="55"/>
      <c r="X46" s="56" t="s">
        <v>317</v>
      </c>
      <c r="Y46" s="56"/>
      <c r="Z46" s="56" t="str">
        <f t="shared" si="4"/>
        <v>Yes</v>
      </c>
      <c r="AA46" s="56" t="str">
        <f t="shared" si="13"/>
        <v>30 May,2023</v>
      </c>
    </row>
    <row r="47" spans="1:27" s="26" customFormat="1" ht="145.19999999999999" x14ac:dyDescent="0.3">
      <c r="A47" s="41"/>
      <c r="B47" s="43" t="s">
        <v>233</v>
      </c>
      <c r="C47" s="45" t="s">
        <v>234</v>
      </c>
      <c r="D47" s="40">
        <v>3</v>
      </c>
      <c r="E47" s="40">
        <v>3</v>
      </c>
      <c r="F47" s="40">
        <v>3</v>
      </c>
      <c r="G47" s="45">
        <v>9</v>
      </c>
      <c r="H47" s="59" t="s">
        <v>226</v>
      </c>
      <c r="I47" s="59" t="s">
        <v>215</v>
      </c>
      <c r="J47" s="51">
        <v>2</v>
      </c>
      <c r="K47" s="51">
        <v>2</v>
      </c>
      <c r="L47" s="52">
        <f t="shared" si="11"/>
        <v>36</v>
      </c>
      <c r="M47" s="61" t="str">
        <f t="shared" si="7"/>
        <v>Medium</v>
      </c>
      <c r="N47" s="63" t="s">
        <v>316</v>
      </c>
      <c r="O47" s="51">
        <v>1</v>
      </c>
      <c r="P47" s="51">
        <v>1</v>
      </c>
      <c r="Q47" s="53">
        <f t="shared" si="12"/>
        <v>9</v>
      </c>
      <c r="R47" s="62" t="str">
        <f t="shared" si="9"/>
        <v>Low</v>
      </c>
      <c r="S47" s="19" t="s">
        <v>394</v>
      </c>
      <c r="T47" s="80" t="s">
        <v>312</v>
      </c>
      <c r="U47" s="55" t="s">
        <v>318</v>
      </c>
      <c r="V47" s="55"/>
      <c r="W47" s="55"/>
      <c r="X47" s="56" t="s">
        <v>317</v>
      </c>
      <c r="Y47" s="56"/>
      <c r="Z47" s="56" t="str">
        <f t="shared" si="4"/>
        <v>Yes</v>
      </c>
      <c r="AA47" s="56" t="str">
        <f t="shared" si="13"/>
        <v>30 May,2023</v>
      </c>
    </row>
    <row r="48" spans="1:27" s="26" customFormat="1" ht="66" x14ac:dyDescent="0.3">
      <c r="A48" s="41"/>
      <c r="B48" s="43" t="s">
        <v>235</v>
      </c>
      <c r="C48" s="45" t="s">
        <v>236</v>
      </c>
      <c r="D48" s="40">
        <v>3</v>
      </c>
      <c r="E48" s="40">
        <v>3</v>
      </c>
      <c r="F48" s="40">
        <v>3</v>
      </c>
      <c r="G48" s="45">
        <v>9</v>
      </c>
      <c r="H48" s="59" t="s">
        <v>229</v>
      </c>
      <c r="I48" s="59" t="s">
        <v>230</v>
      </c>
      <c r="J48" s="51">
        <v>2</v>
      </c>
      <c r="K48" s="51">
        <v>2</v>
      </c>
      <c r="L48" s="52">
        <f t="shared" si="11"/>
        <v>36</v>
      </c>
      <c r="M48" s="61" t="str">
        <f t="shared" si="7"/>
        <v>Medium</v>
      </c>
      <c r="N48" s="85" t="s">
        <v>162</v>
      </c>
      <c r="O48" s="51">
        <v>1</v>
      </c>
      <c r="P48" s="51">
        <v>1</v>
      </c>
      <c r="Q48" s="53">
        <f t="shared" si="12"/>
        <v>9</v>
      </c>
      <c r="R48" s="62" t="str">
        <f t="shared" si="9"/>
        <v>Low</v>
      </c>
      <c r="S48" s="19" t="s">
        <v>384</v>
      </c>
      <c r="T48" s="89" t="s">
        <v>310</v>
      </c>
      <c r="U48" s="55" t="s">
        <v>318</v>
      </c>
      <c r="V48" s="55"/>
      <c r="W48" s="55"/>
      <c r="X48" s="56" t="s">
        <v>317</v>
      </c>
      <c r="Y48" s="56"/>
      <c r="Z48" s="56" t="str">
        <f t="shared" si="4"/>
        <v>Yes</v>
      </c>
      <c r="AA48" s="56" t="str">
        <f t="shared" si="13"/>
        <v>30 May,2023</v>
      </c>
    </row>
    <row r="49" spans="1:27" s="26" customFormat="1" ht="145.19999999999999" x14ac:dyDescent="0.3">
      <c r="A49" s="41"/>
      <c r="B49" s="43" t="s">
        <v>237</v>
      </c>
      <c r="C49" s="45" t="s">
        <v>239</v>
      </c>
      <c r="D49" s="40">
        <v>3</v>
      </c>
      <c r="E49" s="40">
        <v>3</v>
      </c>
      <c r="F49" s="40">
        <v>3</v>
      </c>
      <c r="G49" s="45">
        <v>9</v>
      </c>
      <c r="H49" s="59" t="s">
        <v>226</v>
      </c>
      <c r="I49" s="59" t="s">
        <v>215</v>
      </c>
      <c r="J49" s="51">
        <v>2</v>
      </c>
      <c r="K49" s="51">
        <v>2</v>
      </c>
      <c r="L49" s="52">
        <f t="shared" si="11"/>
        <v>36</v>
      </c>
      <c r="M49" s="61" t="str">
        <f t="shared" si="7"/>
        <v>Medium</v>
      </c>
      <c r="N49" s="63" t="s">
        <v>316</v>
      </c>
      <c r="O49" s="51">
        <v>1</v>
      </c>
      <c r="P49" s="51">
        <v>1</v>
      </c>
      <c r="Q49" s="53">
        <f t="shared" si="12"/>
        <v>9</v>
      </c>
      <c r="R49" s="62" t="str">
        <f t="shared" si="9"/>
        <v>Low</v>
      </c>
      <c r="S49" s="19" t="s">
        <v>394</v>
      </c>
      <c r="T49" s="80" t="s">
        <v>312</v>
      </c>
      <c r="U49" s="55" t="s">
        <v>318</v>
      </c>
      <c r="V49" s="55"/>
      <c r="W49" s="55"/>
      <c r="X49" s="56" t="s">
        <v>317</v>
      </c>
      <c r="Y49" s="56"/>
      <c r="Z49" s="56" t="str">
        <f t="shared" si="4"/>
        <v>Yes</v>
      </c>
      <c r="AA49" s="56" t="str">
        <f t="shared" si="13"/>
        <v>30 May,2023</v>
      </c>
    </row>
    <row r="50" spans="1:27" s="26" customFormat="1" ht="66" x14ac:dyDescent="0.3">
      <c r="A50" s="41"/>
      <c r="B50" s="43" t="s">
        <v>240</v>
      </c>
      <c r="C50" s="45" t="s">
        <v>241</v>
      </c>
      <c r="D50" s="40">
        <v>3</v>
      </c>
      <c r="E50" s="40">
        <v>3</v>
      </c>
      <c r="F50" s="40">
        <v>3</v>
      </c>
      <c r="G50" s="45">
        <v>9</v>
      </c>
      <c r="H50" s="59" t="s">
        <v>229</v>
      </c>
      <c r="I50" s="59" t="s">
        <v>230</v>
      </c>
      <c r="J50" s="51">
        <v>2</v>
      </c>
      <c r="K50" s="51">
        <v>2</v>
      </c>
      <c r="L50" s="52">
        <f t="shared" si="11"/>
        <v>36</v>
      </c>
      <c r="M50" s="61" t="str">
        <f t="shared" si="7"/>
        <v>Medium</v>
      </c>
      <c r="N50" s="85" t="s">
        <v>162</v>
      </c>
      <c r="O50" s="51">
        <v>1</v>
      </c>
      <c r="P50" s="51">
        <v>1</v>
      </c>
      <c r="Q50" s="53">
        <f t="shared" si="12"/>
        <v>9</v>
      </c>
      <c r="R50" s="62" t="str">
        <f t="shared" si="9"/>
        <v>Low</v>
      </c>
      <c r="S50" s="19" t="s">
        <v>384</v>
      </c>
      <c r="T50" s="89" t="s">
        <v>310</v>
      </c>
      <c r="U50" s="55" t="s">
        <v>318</v>
      </c>
      <c r="V50" s="55"/>
      <c r="W50" s="55"/>
      <c r="X50" s="56" t="s">
        <v>317</v>
      </c>
      <c r="Y50" s="56"/>
      <c r="Z50" s="56" t="str">
        <f t="shared" si="4"/>
        <v>Yes</v>
      </c>
      <c r="AA50" s="56" t="str">
        <f t="shared" si="13"/>
        <v>30 May,2023</v>
      </c>
    </row>
    <row r="51" spans="1:27" s="26" customFormat="1" ht="55.2" x14ac:dyDescent="0.3">
      <c r="A51" s="41"/>
      <c r="B51" s="43" t="s">
        <v>242</v>
      </c>
      <c r="C51" s="45" t="s">
        <v>238</v>
      </c>
      <c r="D51" s="40">
        <v>3</v>
      </c>
      <c r="E51" s="40">
        <v>3</v>
      </c>
      <c r="F51" s="40">
        <v>3</v>
      </c>
      <c r="G51" s="45">
        <v>9</v>
      </c>
      <c r="H51" s="59" t="s">
        <v>218</v>
      </c>
      <c r="I51" s="59" t="s">
        <v>219</v>
      </c>
      <c r="J51" s="51">
        <v>2</v>
      </c>
      <c r="K51" s="51">
        <v>2</v>
      </c>
      <c r="L51" s="52">
        <f t="shared" si="11"/>
        <v>36</v>
      </c>
      <c r="M51" s="61" t="str">
        <f t="shared" ref="M51:M74" si="14">IF(L51&lt;=20,"Low",IF(L51&lt;=40,"Medium",IF(L51&lt;=81,"High")))</f>
        <v>Medium</v>
      </c>
      <c r="N51" s="83" t="s">
        <v>299</v>
      </c>
      <c r="O51" s="51">
        <v>1</v>
      </c>
      <c r="P51" s="51">
        <v>1</v>
      </c>
      <c r="Q51" s="53">
        <f t="shared" si="12"/>
        <v>9</v>
      </c>
      <c r="R51" s="62" t="str">
        <f t="shared" si="9"/>
        <v>Low</v>
      </c>
      <c r="S51" s="87" t="s">
        <v>388</v>
      </c>
      <c r="T51" s="57" t="s">
        <v>389</v>
      </c>
      <c r="U51" s="55" t="s">
        <v>318</v>
      </c>
      <c r="V51" s="55"/>
      <c r="W51" s="55"/>
      <c r="X51" s="56" t="s">
        <v>317</v>
      </c>
      <c r="Y51" s="56"/>
      <c r="Z51" s="56" t="str">
        <f t="shared" si="4"/>
        <v>Yes</v>
      </c>
      <c r="AA51" s="56" t="str">
        <f t="shared" si="13"/>
        <v>30 May,2023</v>
      </c>
    </row>
    <row r="52" spans="1:27" s="26" customFormat="1" ht="145.19999999999999" x14ac:dyDescent="0.3">
      <c r="A52" s="41"/>
      <c r="B52" s="43" t="s">
        <v>242</v>
      </c>
      <c r="C52" s="45" t="s">
        <v>238</v>
      </c>
      <c r="D52" s="40">
        <v>3</v>
      </c>
      <c r="E52" s="40">
        <v>3</v>
      </c>
      <c r="F52" s="40">
        <v>3</v>
      </c>
      <c r="G52" s="45">
        <v>9</v>
      </c>
      <c r="H52" s="59" t="s">
        <v>226</v>
      </c>
      <c r="I52" s="59" t="s">
        <v>215</v>
      </c>
      <c r="J52" s="51">
        <v>2</v>
      </c>
      <c r="K52" s="51">
        <v>2</v>
      </c>
      <c r="L52" s="52">
        <f t="shared" si="11"/>
        <v>36</v>
      </c>
      <c r="M52" s="61" t="str">
        <f t="shared" si="14"/>
        <v>Medium</v>
      </c>
      <c r="N52" s="63" t="s">
        <v>316</v>
      </c>
      <c r="O52" s="51">
        <v>1</v>
      </c>
      <c r="P52" s="51">
        <v>1</v>
      </c>
      <c r="Q52" s="53">
        <f t="shared" si="12"/>
        <v>9</v>
      </c>
      <c r="R52" s="62" t="str">
        <f t="shared" si="9"/>
        <v>Low</v>
      </c>
      <c r="S52" s="19" t="s">
        <v>394</v>
      </c>
      <c r="T52" s="80" t="s">
        <v>312</v>
      </c>
      <c r="U52" s="55" t="s">
        <v>318</v>
      </c>
      <c r="V52" s="55"/>
      <c r="W52" s="55"/>
      <c r="X52" s="56" t="s">
        <v>317</v>
      </c>
      <c r="Y52" s="56"/>
      <c r="Z52" s="56" t="str">
        <f t="shared" si="4"/>
        <v>Yes</v>
      </c>
      <c r="AA52" s="56" t="str">
        <f t="shared" si="13"/>
        <v>30 May,2023</v>
      </c>
    </row>
    <row r="53" spans="1:27" s="26" customFormat="1" ht="145.19999999999999" x14ac:dyDescent="0.3">
      <c r="A53" s="41"/>
      <c r="B53" s="43" t="s">
        <v>243</v>
      </c>
      <c r="C53" s="45" t="s">
        <v>244</v>
      </c>
      <c r="D53" s="40">
        <v>3</v>
      </c>
      <c r="E53" s="40">
        <v>3</v>
      </c>
      <c r="F53" s="40">
        <v>3</v>
      </c>
      <c r="G53" s="45">
        <v>9</v>
      </c>
      <c r="H53" s="59" t="s">
        <v>226</v>
      </c>
      <c r="I53" s="59" t="s">
        <v>215</v>
      </c>
      <c r="J53" s="51">
        <v>2</v>
      </c>
      <c r="K53" s="51">
        <v>2</v>
      </c>
      <c r="L53" s="52">
        <f t="shared" si="11"/>
        <v>36</v>
      </c>
      <c r="M53" s="61" t="str">
        <f t="shared" si="14"/>
        <v>Medium</v>
      </c>
      <c r="N53" s="63" t="s">
        <v>316</v>
      </c>
      <c r="O53" s="51">
        <v>1</v>
      </c>
      <c r="P53" s="51">
        <v>1</v>
      </c>
      <c r="Q53" s="53">
        <f t="shared" si="12"/>
        <v>9</v>
      </c>
      <c r="R53" s="62" t="str">
        <f t="shared" si="9"/>
        <v>Low</v>
      </c>
      <c r="S53" s="19" t="s">
        <v>394</v>
      </c>
      <c r="T53" s="80" t="s">
        <v>312</v>
      </c>
      <c r="U53" s="55" t="s">
        <v>318</v>
      </c>
      <c r="V53" s="55"/>
      <c r="W53" s="55"/>
      <c r="X53" s="56" t="s">
        <v>317</v>
      </c>
      <c r="Y53" s="56"/>
      <c r="Z53" s="56" t="str">
        <f t="shared" si="4"/>
        <v>Yes</v>
      </c>
      <c r="AA53" s="56" t="str">
        <f t="shared" si="13"/>
        <v>30 May,2023</v>
      </c>
    </row>
    <row r="54" spans="1:27" s="26" customFormat="1" ht="66" x14ac:dyDescent="0.3">
      <c r="A54" s="41"/>
      <c r="B54" s="43" t="s">
        <v>245</v>
      </c>
      <c r="C54" s="45" t="s">
        <v>246</v>
      </c>
      <c r="D54" s="40">
        <v>3</v>
      </c>
      <c r="E54" s="40">
        <v>3</v>
      </c>
      <c r="F54" s="40">
        <v>3</v>
      </c>
      <c r="G54" s="45">
        <v>9</v>
      </c>
      <c r="H54" s="59" t="s">
        <v>229</v>
      </c>
      <c r="I54" s="59" t="s">
        <v>230</v>
      </c>
      <c r="J54" s="51">
        <v>2</v>
      </c>
      <c r="K54" s="51">
        <v>2</v>
      </c>
      <c r="L54" s="52">
        <f t="shared" si="11"/>
        <v>36</v>
      </c>
      <c r="M54" s="61" t="str">
        <f t="shared" si="14"/>
        <v>Medium</v>
      </c>
      <c r="N54" s="85" t="s">
        <v>162</v>
      </c>
      <c r="O54" s="51">
        <v>1</v>
      </c>
      <c r="P54" s="51">
        <v>1</v>
      </c>
      <c r="Q54" s="53">
        <f t="shared" si="12"/>
        <v>9</v>
      </c>
      <c r="R54" s="62" t="str">
        <f t="shared" si="9"/>
        <v>Low</v>
      </c>
      <c r="S54" s="19" t="s">
        <v>384</v>
      </c>
      <c r="T54" s="89" t="s">
        <v>310</v>
      </c>
      <c r="U54" s="55" t="s">
        <v>318</v>
      </c>
      <c r="V54" s="55"/>
      <c r="W54" s="55"/>
      <c r="X54" s="56" t="s">
        <v>317</v>
      </c>
      <c r="Y54" s="56"/>
      <c r="Z54" s="56" t="str">
        <f t="shared" si="4"/>
        <v>Yes</v>
      </c>
      <c r="AA54" s="56" t="str">
        <f t="shared" si="13"/>
        <v>30 May,2023</v>
      </c>
    </row>
    <row r="55" spans="1:27" s="26" customFormat="1" ht="66" x14ac:dyDescent="0.3">
      <c r="A55" s="41"/>
      <c r="B55" s="43" t="s">
        <v>247</v>
      </c>
      <c r="C55" s="45" t="s">
        <v>248</v>
      </c>
      <c r="D55" s="40">
        <v>3</v>
      </c>
      <c r="E55" s="40">
        <v>3</v>
      </c>
      <c r="F55" s="40">
        <v>3</v>
      </c>
      <c r="G55" s="45">
        <v>9</v>
      </c>
      <c r="H55" s="59" t="s">
        <v>229</v>
      </c>
      <c r="I55" s="59" t="s">
        <v>230</v>
      </c>
      <c r="J55" s="51">
        <v>2</v>
      </c>
      <c r="K55" s="51">
        <v>2</v>
      </c>
      <c r="L55" s="52">
        <f t="shared" si="11"/>
        <v>36</v>
      </c>
      <c r="M55" s="61" t="str">
        <f t="shared" si="14"/>
        <v>Medium</v>
      </c>
      <c r="N55" s="85" t="s">
        <v>162</v>
      </c>
      <c r="O55" s="51">
        <v>1</v>
      </c>
      <c r="P55" s="51">
        <v>1</v>
      </c>
      <c r="Q55" s="53">
        <f t="shared" si="12"/>
        <v>9</v>
      </c>
      <c r="R55" s="62" t="str">
        <f t="shared" si="9"/>
        <v>Low</v>
      </c>
      <c r="S55" s="19" t="s">
        <v>384</v>
      </c>
      <c r="T55" s="89" t="s">
        <v>310</v>
      </c>
      <c r="U55" s="55" t="s">
        <v>318</v>
      </c>
      <c r="V55" s="55"/>
      <c r="W55" s="55"/>
      <c r="X55" s="56" t="s">
        <v>317</v>
      </c>
      <c r="Y55" s="56"/>
      <c r="Z55" s="56" t="str">
        <f t="shared" si="4"/>
        <v>Yes</v>
      </c>
      <c r="AA55" s="56" t="str">
        <f t="shared" si="13"/>
        <v>30 May,2023</v>
      </c>
    </row>
    <row r="56" spans="1:27" s="26" customFormat="1" ht="145.19999999999999" x14ac:dyDescent="0.3">
      <c r="A56" s="41"/>
      <c r="B56" s="43" t="s">
        <v>249</v>
      </c>
      <c r="C56" s="45" t="s">
        <v>250</v>
      </c>
      <c r="D56" s="40">
        <v>2</v>
      </c>
      <c r="E56" s="40">
        <v>2</v>
      </c>
      <c r="F56" s="40">
        <v>2</v>
      </c>
      <c r="G56" s="45">
        <v>6</v>
      </c>
      <c r="H56" s="59" t="s">
        <v>226</v>
      </c>
      <c r="I56" s="59" t="s">
        <v>215</v>
      </c>
      <c r="J56" s="51">
        <v>2</v>
      </c>
      <c r="K56" s="51">
        <v>2</v>
      </c>
      <c r="L56" s="52">
        <f t="shared" si="11"/>
        <v>24</v>
      </c>
      <c r="M56" s="61" t="str">
        <f t="shared" si="14"/>
        <v>Medium</v>
      </c>
      <c r="N56" s="63" t="s">
        <v>316</v>
      </c>
      <c r="O56" s="51">
        <v>1</v>
      </c>
      <c r="P56" s="51">
        <v>1</v>
      </c>
      <c r="Q56" s="53">
        <f t="shared" si="12"/>
        <v>6</v>
      </c>
      <c r="R56" s="62" t="str">
        <f t="shared" si="9"/>
        <v>Low</v>
      </c>
      <c r="S56" s="19" t="s">
        <v>394</v>
      </c>
      <c r="T56" s="80" t="s">
        <v>312</v>
      </c>
      <c r="U56" s="55" t="s">
        <v>318</v>
      </c>
      <c r="V56" s="55"/>
      <c r="W56" s="55"/>
      <c r="X56" s="56" t="s">
        <v>317</v>
      </c>
      <c r="Y56" s="56"/>
      <c r="Z56" s="56" t="str">
        <f t="shared" si="4"/>
        <v>Yes</v>
      </c>
      <c r="AA56" s="56" t="str">
        <f t="shared" si="13"/>
        <v>30 May,2023</v>
      </c>
    </row>
    <row r="57" spans="1:27" s="26" customFormat="1" ht="66" x14ac:dyDescent="0.3">
      <c r="A57" s="41"/>
      <c r="B57" s="43" t="s">
        <v>251</v>
      </c>
      <c r="C57" s="45" t="s">
        <v>252</v>
      </c>
      <c r="D57" s="40">
        <v>2</v>
      </c>
      <c r="E57" s="40">
        <v>2</v>
      </c>
      <c r="F57" s="40">
        <v>2</v>
      </c>
      <c r="G57" s="45">
        <v>6</v>
      </c>
      <c r="H57" s="59" t="s">
        <v>229</v>
      </c>
      <c r="I57" s="59" t="s">
        <v>230</v>
      </c>
      <c r="J57" s="51">
        <v>2</v>
      </c>
      <c r="K57" s="51">
        <v>2</v>
      </c>
      <c r="L57" s="52">
        <f t="shared" ref="L57:L71" si="15">K57*J57*G57</f>
        <v>24</v>
      </c>
      <c r="M57" s="61" t="str">
        <f t="shared" si="14"/>
        <v>Medium</v>
      </c>
      <c r="N57" s="85" t="s">
        <v>162</v>
      </c>
      <c r="O57" s="51">
        <v>1</v>
      </c>
      <c r="P57" s="51">
        <v>1</v>
      </c>
      <c r="Q57" s="53">
        <f t="shared" si="12"/>
        <v>6</v>
      </c>
      <c r="R57" s="62" t="str">
        <f t="shared" si="9"/>
        <v>Low</v>
      </c>
      <c r="S57" s="19" t="s">
        <v>384</v>
      </c>
      <c r="T57" s="89" t="s">
        <v>310</v>
      </c>
      <c r="U57" s="55" t="s">
        <v>318</v>
      </c>
      <c r="V57" s="55"/>
      <c r="W57" s="55"/>
      <c r="X57" s="56" t="s">
        <v>317</v>
      </c>
      <c r="Y57" s="56"/>
      <c r="Z57" s="56" t="str">
        <f t="shared" si="4"/>
        <v>Yes</v>
      </c>
      <c r="AA57" s="56" t="str">
        <f t="shared" si="13"/>
        <v>30 May,2023</v>
      </c>
    </row>
    <row r="58" spans="1:27" s="26" customFormat="1" ht="82.8" x14ac:dyDescent="0.3">
      <c r="A58" s="41"/>
      <c r="B58" s="44" t="s">
        <v>89</v>
      </c>
      <c r="C58" s="40" t="s">
        <v>149</v>
      </c>
      <c r="D58" s="40">
        <v>2</v>
      </c>
      <c r="E58" s="40">
        <v>2</v>
      </c>
      <c r="F58" s="40">
        <v>2</v>
      </c>
      <c r="G58" s="45">
        <v>6</v>
      </c>
      <c r="H58" s="42" t="s">
        <v>42</v>
      </c>
      <c r="I58" s="43" t="s">
        <v>204</v>
      </c>
      <c r="J58" s="51">
        <v>2</v>
      </c>
      <c r="K58" s="51">
        <v>2</v>
      </c>
      <c r="L58" s="52">
        <f t="shared" si="15"/>
        <v>24</v>
      </c>
      <c r="M58" s="61" t="str">
        <f t="shared" si="14"/>
        <v>Medium</v>
      </c>
      <c r="N58" s="84" t="s">
        <v>385</v>
      </c>
      <c r="O58" s="51">
        <v>1</v>
      </c>
      <c r="P58" s="51">
        <v>1</v>
      </c>
      <c r="Q58" s="53">
        <f t="shared" si="12"/>
        <v>6</v>
      </c>
      <c r="R58" s="62" t="str">
        <f t="shared" ref="R58:R84" si="16">IF(Q58&lt;=20,"Low",IF(Q58&lt;=40,"Medium",IF(Q58&lt;=81,"High")))</f>
        <v>Low</v>
      </c>
      <c r="S58" s="19" t="s">
        <v>384</v>
      </c>
      <c r="T58" s="57" t="s">
        <v>213</v>
      </c>
      <c r="U58" s="55" t="s">
        <v>318</v>
      </c>
      <c r="V58" s="55"/>
      <c r="W58" s="55"/>
      <c r="X58" s="55" t="s">
        <v>292</v>
      </c>
      <c r="Y58" s="55"/>
      <c r="Z58" s="56" t="str">
        <f t="shared" si="4"/>
        <v>Yes</v>
      </c>
      <c r="AA58" s="56" t="str">
        <f t="shared" si="13"/>
        <v>30 May,2023</v>
      </c>
    </row>
    <row r="59" spans="1:27" s="26" customFormat="1" ht="82.8" x14ac:dyDescent="0.3">
      <c r="A59" s="41"/>
      <c r="B59" s="44" t="s">
        <v>88</v>
      </c>
      <c r="C59" s="40" t="s">
        <v>148</v>
      </c>
      <c r="D59" s="40">
        <v>2</v>
      </c>
      <c r="E59" s="40">
        <v>2</v>
      </c>
      <c r="F59" s="40">
        <v>2</v>
      </c>
      <c r="G59" s="45">
        <v>6</v>
      </c>
      <c r="H59" s="42" t="s">
        <v>42</v>
      </c>
      <c r="I59" s="43" t="s">
        <v>204</v>
      </c>
      <c r="J59" s="51">
        <v>2</v>
      </c>
      <c r="K59" s="51">
        <v>2</v>
      </c>
      <c r="L59" s="52">
        <f t="shared" si="15"/>
        <v>24</v>
      </c>
      <c r="M59" s="61" t="str">
        <f t="shared" si="14"/>
        <v>Medium</v>
      </c>
      <c r="N59" s="84" t="s">
        <v>385</v>
      </c>
      <c r="O59" s="51">
        <v>1</v>
      </c>
      <c r="P59" s="51">
        <v>1</v>
      </c>
      <c r="Q59" s="53">
        <f t="shared" si="12"/>
        <v>6</v>
      </c>
      <c r="R59" s="62" t="str">
        <f t="shared" si="16"/>
        <v>Low</v>
      </c>
      <c r="S59" s="19" t="s">
        <v>384</v>
      </c>
      <c r="T59" s="57" t="s">
        <v>213</v>
      </c>
      <c r="U59" s="55" t="s">
        <v>318</v>
      </c>
      <c r="V59" s="55"/>
      <c r="W59" s="55"/>
      <c r="X59" s="55" t="s">
        <v>292</v>
      </c>
      <c r="Y59" s="55"/>
      <c r="Z59" s="56" t="str">
        <f t="shared" si="4"/>
        <v>Yes</v>
      </c>
      <c r="AA59" s="56" t="str">
        <f t="shared" si="13"/>
        <v>30 May,2023</v>
      </c>
    </row>
    <row r="60" spans="1:27" s="26" customFormat="1" ht="124.2" x14ac:dyDescent="0.3">
      <c r="A60" s="42"/>
      <c r="B60" s="44" t="s">
        <v>88</v>
      </c>
      <c r="C60" s="40" t="s">
        <v>148</v>
      </c>
      <c r="D60" s="40">
        <v>2</v>
      </c>
      <c r="E60" s="40">
        <v>2</v>
      </c>
      <c r="F60" s="40">
        <v>2</v>
      </c>
      <c r="G60" s="45">
        <v>6</v>
      </c>
      <c r="H60" s="44" t="s">
        <v>216</v>
      </c>
      <c r="I60" s="44" t="s">
        <v>217</v>
      </c>
      <c r="J60" s="51">
        <v>2</v>
      </c>
      <c r="K60" s="51">
        <v>2</v>
      </c>
      <c r="L60" s="52">
        <f t="shared" si="15"/>
        <v>24</v>
      </c>
      <c r="M60" s="61" t="str">
        <f t="shared" si="14"/>
        <v>Medium</v>
      </c>
      <c r="N60" s="83" t="s">
        <v>386</v>
      </c>
      <c r="O60" s="51">
        <v>1</v>
      </c>
      <c r="P60" s="51">
        <v>1</v>
      </c>
      <c r="Q60" s="53">
        <f t="shared" si="12"/>
        <v>6</v>
      </c>
      <c r="R60" s="62" t="str">
        <f t="shared" si="16"/>
        <v>Low</v>
      </c>
      <c r="S60" s="19" t="s">
        <v>387</v>
      </c>
      <c r="T60" s="57" t="s">
        <v>222</v>
      </c>
      <c r="U60" s="55" t="s">
        <v>318</v>
      </c>
      <c r="V60" s="55"/>
      <c r="W60" s="55"/>
      <c r="X60" s="55" t="s">
        <v>292</v>
      </c>
      <c r="Y60" s="55"/>
      <c r="Z60" s="56" t="str">
        <f t="shared" si="4"/>
        <v>Yes</v>
      </c>
      <c r="AA60" s="56" t="str">
        <f t="shared" si="13"/>
        <v>30 May,2023</v>
      </c>
    </row>
    <row r="61" spans="1:27" s="26" customFormat="1" ht="55.2" x14ac:dyDescent="0.3">
      <c r="A61" s="42"/>
      <c r="B61" s="44" t="s">
        <v>88</v>
      </c>
      <c r="C61" s="40" t="s">
        <v>148</v>
      </c>
      <c r="D61" s="40">
        <v>2</v>
      </c>
      <c r="E61" s="40">
        <v>2</v>
      </c>
      <c r="F61" s="40">
        <v>2</v>
      </c>
      <c r="G61" s="45">
        <v>6</v>
      </c>
      <c r="H61" s="44" t="s">
        <v>218</v>
      </c>
      <c r="I61" s="44" t="s">
        <v>219</v>
      </c>
      <c r="J61" s="51">
        <v>2</v>
      </c>
      <c r="K61" s="51">
        <v>2</v>
      </c>
      <c r="L61" s="52">
        <f t="shared" si="15"/>
        <v>24</v>
      </c>
      <c r="M61" s="61" t="str">
        <f t="shared" si="14"/>
        <v>Medium</v>
      </c>
      <c r="N61" s="83" t="s">
        <v>299</v>
      </c>
      <c r="O61" s="51">
        <v>1</v>
      </c>
      <c r="P61" s="51">
        <v>1</v>
      </c>
      <c r="Q61" s="53">
        <f t="shared" si="12"/>
        <v>6</v>
      </c>
      <c r="R61" s="62" t="str">
        <f t="shared" si="16"/>
        <v>Low</v>
      </c>
      <c r="S61" s="87" t="s">
        <v>388</v>
      </c>
      <c r="T61" s="57" t="s">
        <v>389</v>
      </c>
      <c r="U61" s="55" t="s">
        <v>318</v>
      </c>
      <c r="V61" s="55"/>
      <c r="W61" s="55"/>
      <c r="X61" s="55" t="s">
        <v>292</v>
      </c>
      <c r="Y61" s="55"/>
      <c r="Z61" s="56" t="str">
        <f t="shared" si="4"/>
        <v>Yes</v>
      </c>
      <c r="AA61" s="56" t="str">
        <f t="shared" si="13"/>
        <v>30 May,2023</v>
      </c>
    </row>
    <row r="62" spans="1:27" s="26" customFormat="1" ht="41.4" x14ac:dyDescent="0.3">
      <c r="A62" s="42"/>
      <c r="B62" s="44" t="s">
        <v>88</v>
      </c>
      <c r="C62" s="40" t="s">
        <v>148</v>
      </c>
      <c r="D62" s="40">
        <v>2</v>
      </c>
      <c r="E62" s="40">
        <v>2</v>
      </c>
      <c r="F62" s="40">
        <v>2</v>
      </c>
      <c r="G62" s="45">
        <v>6</v>
      </c>
      <c r="H62" s="44" t="s">
        <v>220</v>
      </c>
      <c r="I62" s="44" t="s">
        <v>221</v>
      </c>
      <c r="J62" s="51">
        <v>2</v>
      </c>
      <c r="K62" s="51">
        <v>2</v>
      </c>
      <c r="L62" s="52">
        <f t="shared" si="15"/>
        <v>24</v>
      </c>
      <c r="M62" s="61" t="str">
        <f t="shared" si="14"/>
        <v>Medium</v>
      </c>
      <c r="N62" s="63" t="s">
        <v>315</v>
      </c>
      <c r="O62" s="51">
        <v>1</v>
      </c>
      <c r="P62" s="51">
        <v>1</v>
      </c>
      <c r="Q62" s="53">
        <f t="shared" si="12"/>
        <v>6</v>
      </c>
      <c r="R62" s="62" t="str">
        <f t="shared" si="16"/>
        <v>Low</v>
      </c>
      <c r="S62" s="81" t="s">
        <v>382</v>
      </c>
      <c r="T62" s="57" t="s">
        <v>223</v>
      </c>
      <c r="U62" s="55" t="s">
        <v>318</v>
      </c>
      <c r="V62" s="55"/>
      <c r="W62" s="55"/>
      <c r="X62" s="55" t="s">
        <v>292</v>
      </c>
      <c r="Y62" s="55"/>
      <c r="Z62" s="56" t="str">
        <f t="shared" si="4"/>
        <v>Yes</v>
      </c>
      <c r="AA62" s="56" t="str">
        <f t="shared" si="13"/>
        <v>30 May,2023</v>
      </c>
    </row>
    <row r="63" spans="1:27" s="26" customFormat="1" ht="82.8" x14ac:dyDescent="0.3">
      <c r="A63" s="42"/>
      <c r="B63" s="44" t="s">
        <v>171</v>
      </c>
      <c r="C63" s="40" t="s">
        <v>192</v>
      </c>
      <c r="D63" s="40">
        <v>2</v>
      </c>
      <c r="E63" s="40">
        <v>2</v>
      </c>
      <c r="F63" s="40">
        <v>2</v>
      </c>
      <c r="G63" s="45">
        <v>6</v>
      </c>
      <c r="H63" s="42" t="s">
        <v>42</v>
      </c>
      <c r="I63" s="43" t="s">
        <v>204</v>
      </c>
      <c r="J63" s="51">
        <v>2</v>
      </c>
      <c r="K63" s="51">
        <v>2</v>
      </c>
      <c r="L63" s="52">
        <f t="shared" si="15"/>
        <v>24</v>
      </c>
      <c r="M63" s="61" t="str">
        <f t="shared" si="14"/>
        <v>Medium</v>
      </c>
      <c r="N63" s="84" t="s">
        <v>385</v>
      </c>
      <c r="O63" s="51">
        <v>1</v>
      </c>
      <c r="P63" s="51">
        <v>1</v>
      </c>
      <c r="Q63" s="53">
        <f t="shared" si="12"/>
        <v>6</v>
      </c>
      <c r="R63" s="62" t="str">
        <f t="shared" si="16"/>
        <v>Low</v>
      </c>
      <c r="S63" s="19" t="s">
        <v>384</v>
      </c>
      <c r="T63" s="57" t="s">
        <v>213</v>
      </c>
      <c r="U63" s="55" t="s">
        <v>318</v>
      </c>
      <c r="V63" s="55"/>
      <c r="W63" s="55"/>
      <c r="X63" s="55" t="s">
        <v>293</v>
      </c>
      <c r="Y63" s="55"/>
      <c r="Z63" s="56" t="str">
        <f t="shared" si="4"/>
        <v>Yes</v>
      </c>
      <c r="AA63" s="56" t="str">
        <f t="shared" si="13"/>
        <v>30 May,2023</v>
      </c>
    </row>
    <row r="64" spans="1:27" s="26" customFormat="1" ht="82.8" x14ac:dyDescent="0.3">
      <c r="A64" s="42"/>
      <c r="B64" s="44" t="s">
        <v>174</v>
      </c>
      <c r="C64" s="40" t="s">
        <v>151</v>
      </c>
      <c r="D64" s="40">
        <v>3</v>
      </c>
      <c r="E64" s="40">
        <v>3</v>
      </c>
      <c r="F64" s="40">
        <v>3</v>
      </c>
      <c r="G64" s="45">
        <v>9</v>
      </c>
      <c r="H64" s="42" t="s">
        <v>42</v>
      </c>
      <c r="I64" s="43" t="s">
        <v>204</v>
      </c>
      <c r="J64" s="51">
        <v>2</v>
      </c>
      <c r="K64" s="51">
        <v>2</v>
      </c>
      <c r="L64" s="52">
        <f t="shared" si="15"/>
        <v>36</v>
      </c>
      <c r="M64" s="61" t="str">
        <f t="shared" si="14"/>
        <v>Medium</v>
      </c>
      <c r="N64" s="84" t="s">
        <v>385</v>
      </c>
      <c r="O64" s="51">
        <v>1</v>
      </c>
      <c r="P64" s="51">
        <v>1</v>
      </c>
      <c r="Q64" s="53">
        <f t="shared" si="12"/>
        <v>9</v>
      </c>
      <c r="R64" s="62" t="str">
        <f t="shared" si="16"/>
        <v>Low</v>
      </c>
      <c r="S64" s="19" t="s">
        <v>384</v>
      </c>
      <c r="T64" s="57" t="s">
        <v>213</v>
      </c>
      <c r="U64" s="55" t="s">
        <v>318</v>
      </c>
      <c r="V64" s="55"/>
      <c r="W64" s="55"/>
      <c r="X64" s="55" t="s">
        <v>291</v>
      </c>
      <c r="Y64" s="55"/>
      <c r="Z64" s="56" t="str">
        <f t="shared" si="4"/>
        <v>Yes</v>
      </c>
      <c r="AA64" s="56" t="str">
        <f t="shared" si="13"/>
        <v>30 May,2023</v>
      </c>
    </row>
    <row r="65" spans="1:27" s="26" customFormat="1" ht="124.2" x14ac:dyDescent="0.3">
      <c r="A65" s="42"/>
      <c r="B65" s="44" t="s">
        <v>175</v>
      </c>
      <c r="C65" s="40" t="s">
        <v>194</v>
      </c>
      <c r="D65" s="40">
        <v>3</v>
      </c>
      <c r="E65" s="40">
        <v>3</v>
      </c>
      <c r="F65" s="40">
        <v>3</v>
      </c>
      <c r="G65" s="45">
        <v>9</v>
      </c>
      <c r="H65" s="44" t="s">
        <v>216</v>
      </c>
      <c r="I65" s="44" t="s">
        <v>217</v>
      </c>
      <c r="J65" s="51">
        <v>2</v>
      </c>
      <c r="K65" s="51">
        <v>2</v>
      </c>
      <c r="L65" s="52">
        <f t="shared" si="15"/>
        <v>36</v>
      </c>
      <c r="M65" s="61" t="str">
        <f t="shared" si="14"/>
        <v>Medium</v>
      </c>
      <c r="N65" s="83" t="s">
        <v>386</v>
      </c>
      <c r="O65" s="51">
        <v>1</v>
      </c>
      <c r="P65" s="51">
        <v>1</v>
      </c>
      <c r="Q65" s="53">
        <f t="shared" si="12"/>
        <v>9</v>
      </c>
      <c r="R65" s="62" t="str">
        <f t="shared" si="16"/>
        <v>Low</v>
      </c>
      <c r="S65" s="19" t="s">
        <v>387</v>
      </c>
      <c r="T65" s="57" t="s">
        <v>222</v>
      </c>
      <c r="U65" s="55" t="s">
        <v>318</v>
      </c>
      <c r="V65" s="55"/>
      <c r="W65" s="55"/>
      <c r="X65" s="55" t="s">
        <v>291</v>
      </c>
      <c r="Y65" s="55"/>
      <c r="Z65" s="56" t="str">
        <f t="shared" si="4"/>
        <v>Yes</v>
      </c>
      <c r="AA65" s="56" t="str">
        <f t="shared" si="13"/>
        <v>30 May,2023</v>
      </c>
    </row>
    <row r="66" spans="1:27" s="26" customFormat="1" ht="55.2" x14ac:dyDescent="0.3">
      <c r="A66" s="42"/>
      <c r="B66" s="44" t="s">
        <v>175</v>
      </c>
      <c r="C66" s="40" t="s">
        <v>194</v>
      </c>
      <c r="D66" s="40">
        <v>3</v>
      </c>
      <c r="E66" s="40">
        <v>3</v>
      </c>
      <c r="F66" s="40">
        <v>3</v>
      </c>
      <c r="G66" s="45">
        <v>9</v>
      </c>
      <c r="H66" s="44" t="s">
        <v>218</v>
      </c>
      <c r="I66" s="44" t="s">
        <v>219</v>
      </c>
      <c r="J66" s="51">
        <v>2</v>
      </c>
      <c r="K66" s="51">
        <v>2</v>
      </c>
      <c r="L66" s="52">
        <f t="shared" si="15"/>
        <v>36</v>
      </c>
      <c r="M66" s="61" t="str">
        <f t="shared" si="14"/>
        <v>Medium</v>
      </c>
      <c r="N66" s="83" t="s">
        <v>299</v>
      </c>
      <c r="O66" s="51">
        <v>1</v>
      </c>
      <c r="P66" s="51">
        <v>1</v>
      </c>
      <c r="Q66" s="53">
        <f t="shared" si="12"/>
        <v>9</v>
      </c>
      <c r="R66" s="62" t="str">
        <f t="shared" si="16"/>
        <v>Low</v>
      </c>
      <c r="S66" s="87" t="s">
        <v>388</v>
      </c>
      <c r="T66" s="57" t="s">
        <v>389</v>
      </c>
      <c r="U66" s="55" t="s">
        <v>318</v>
      </c>
      <c r="V66" s="55"/>
      <c r="W66" s="55"/>
      <c r="X66" s="55" t="s">
        <v>291</v>
      </c>
      <c r="Y66" s="55"/>
      <c r="Z66" s="56" t="str">
        <f t="shared" si="4"/>
        <v>Yes</v>
      </c>
      <c r="AA66" s="56" t="str">
        <f t="shared" si="13"/>
        <v>30 May,2023</v>
      </c>
    </row>
    <row r="67" spans="1:27" s="26" customFormat="1" ht="41.4" x14ac:dyDescent="0.3">
      <c r="A67" s="42"/>
      <c r="B67" s="44" t="s">
        <v>175</v>
      </c>
      <c r="C67" s="40" t="s">
        <v>194</v>
      </c>
      <c r="D67" s="40">
        <v>3</v>
      </c>
      <c r="E67" s="40">
        <v>3</v>
      </c>
      <c r="F67" s="40">
        <v>3</v>
      </c>
      <c r="G67" s="45">
        <v>9</v>
      </c>
      <c r="H67" s="44" t="s">
        <v>220</v>
      </c>
      <c r="I67" s="44" t="s">
        <v>221</v>
      </c>
      <c r="J67" s="51">
        <v>2</v>
      </c>
      <c r="K67" s="51">
        <v>2</v>
      </c>
      <c r="L67" s="52">
        <f t="shared" si="15"/>
        <v>36</v>
      </c>
      <c r="M67" s="61" t="str">
        <f t="shared" si="14"/>
        <v>Medium</v>
      </c>
      <c r="N67" s="63" t="s">
        <v>315</v>
      </c>
      <c r="O67" s="51">
        <v>1</v>
      </c>
      <c r="P67" s="51">
        <v>1</v>
      </c>
      <c r="Q67" s="53">
        <f t="shared" si="12"/>
        <v>9</v>
      </c>
      <c r="R67" s="62" t="str">
        <f t="shared" si="16"/>
        <v>Low</v>
      </c>
      <c r="S67" s="81" t="s">
        <v>382</v>
      </c>
      <c r="T67" s="57" t="s">
        <v>223</v>
      </c>
      <c r="U67" s="55" t="s">
        <v>318</v>
      </c>
      <c r="V67" s="55"/>
      <c r="W67" s="55"/>
      <c r="X67" s="55" t="s">
        <v>291</v>
      </c>
      <c r="Y67" s="55"/>
      <c r="Z67" s="56" t="str">
        <f t="shared" si="4"/>
        <v>Yes</v>
      </c>
      <c r="AA67" s="56" t="str">
        <f t="shared" si="13"/>
        <v>30 May,2023</v>
      </c>
    </row>
    <row r="68" spans="1:27" s="26" customFormat="1" ht="82.8" x14ac:dyDescent="0.3">
      <c r="A68" s="42"/>
      <c r="B68" s="44" t="s">
        <v>68</v>
      </c>
      <c r="C68" s="40" t="s">
        <v>136</v>
      </c>
      <c r="D68" s="40">
        <v>2</v>
      </c>
      <c r="E68" s="40">
        <v>2</v>
      </c>
      <c r="F68" s="40">
        <v>2</v>
      </c>
      <c r="G68" s="45">
        <v>6</v>
      </c>
      <c r="H68" s="42" t="s">
        <v>42</v>
      </c>
      <c r="I68" s="43" t="s">
        <v>204</v>
      </c>
      <c r="J68" s="51">
        <v>2</v>
      </c>
      <c r="K68" s="51">
        <v>2</v>
      </c>
      <c r="L68" s="52">
        <f t="shared" si="15"/>
        <v>24</v>
      </c>
      <c r="M68" s="61" t="str">
        <f t="shared" si="14"/>
        <v>Medium</v>
      </c>
      <c r="N68" s="84" t="s">
        <v>385</v>
      </c>
      <c r="O68" s="51">
        <v>1</v>
      </c>
      <c r="P68" s="51">
        <v>1</v>
      </c>
      <c r="Q68" s="53">
        <f t="shared" si="12"/>
        <v>6</v>
      </c>
      <c r="R68" s="62" t="str">
        <f t="shared" si="16"/>
        <v>Low</v>
      </c>
      <c r="S68" s="19" t="s">
        <v>384</v>
      </c>
      <c r="T68" s="57" t="s">
        <v>213</v>
      </c>
      <c r="U68" s="55" t="s">
        <v>318</v>
      </c>
      <c r="V68" s="55"/>
      <c r="W68" s="55"/>
      <c r="X68" s="55" t="s">
        <v>295</v>
      </c>
      <c r="Y68" s="55"/>
      <c r="Z68" s="56" t="str">
        <f t="shared" si="4"/>
        <v>Yes</v>
      </c>
      <c r="AA68" s="56" t="str">
        <f t="shared" si="13"/>
        <v>30 May,2023</v>
      </c>
    </row>
    <row r="69" spans="1:27" s="26" customFormat="1" ht="124.2" x14ac:dyDescent="0.3">
      <c r="A69" s="42"/>
      <c r="B69" s="44" t="s">
        <v>177</v>
      </c>
      <c r="C69" s="40" t="s">
        <v>135</v>
      </c>
      <c r="D69" s="40">
        <v>3</v>
      </c>
      <c r="E69" s="40">
        <v>3</v>
      </c>
      <c r="F69" s="40">
        <v>3</v>
      </c>
      <c r="G69" s="45">
        <v>9</v>
      </c>
      <c r="H69" s="44" t="s">
        <v>216</v>
      </c>
      <c r="I69" s="44" t="s">
        <v>217</v>
      </c>
      <c r="J69" s="51">
        <v>2</v>
      </c>
      <c r="K69" s="51">
        <v>2</v>
      </c>
      <c r="L69" s="52">
        <f t="shared" si="15"/>
        <v>36</v>
      </c>
      <c r="M69" s="61" t="str">
        <f t="shared" si="14"/>
        <v>Medium</v>
      </c>
      <c r="N69" s="83" t="s">
        <v>386</v>
      </c>
      <c r="O69" s="51">
        <v>1</v>
      </c>
      <c r="P69" s="51">
        <v>1</v>
      </c>
      <c r="Q69" s="53">
        <f t="shared" si="12"/>
        <v>9</v>
      </c>
      <c r="R69" s="62" t="str">
        <f t="shared" si="16"/>
        <v>Low</v>
      </c>
      <c r="S69" s="19" t="s">
        <v>387</v>
      </c>
      <c r="T69" s="57" t="s">
        <v>222</v>
      </c>
      <c r="U69" s="55" t="s">
        <v>318</v>
      </c>
      <c r="V69" s="55"/>
      <c r="W69" s="55"/>
      <c r="X69" s="55" t="s">
        <v>295</v>
      </c>
      <c r="Y69" s="55"/>
      <c r="Z69" s="56" t="str">
        <f t="shared" ref="Z69:Z132" si="17">IF(Q69&lt;=20,"Yes",IF(Q69&gt;20,"No"))</f>
        <v>Yes</v>
      </c>
      <c r="AA69" s="56" t="str">
        <f t="shared" si="13"/>
        <v>30 May,2023</v>
      </c>
    </row>
    <row r="70" spans="1:27" s="26" customFormat="1" ht="55.2" x14ac:dyDescent="0.3">
      <c r="A70" s="42"/>
      <c r="B70" s="44" t="s">
        <v>177</v>
      </c>
      <c r="C70" s="40" t="s">
        <v>135</v>
      </c>
      <c r="D70" s="40">
        <v>3</v>
      </c>
      <c r="E70" s="40">
        <v>3</v>
      </c>
      <c r="F70" s="40">
        <v>3</v>
      </c>
      <c r="G70" s="45">
        <v>9</v>
      </c>
      <c r="H70" s="44" t="s">
        <v>218</v>
      </c>
      <c r="I70" s="44" t="s">
        <v>219</v>
      </c>
      <c r="J70" s="51">
        <v>2</v>
      </c>
      <c r="K70" s="51">
        <v>2</v>
      </c>
      <c r="L70" s="52">
        <f t="shared" si="15"/>
        <v>36</v>
      </c>
      <c r="M70" s="61" t="str">
        <f t="shared" si="14"/>
        <v>Medium</v>
      </c>
      <c r="N70" s="83" t="s">
        <v>299</v>
      </c>
      <c r="O70" s="51">
        <v>1</v>
      </c>
      <c r="P70" s="51">
        <v>1</v>
      </c>
      <c r="Q70" s="53">
        <f t="shared" si="12"/>
        <v>9</v>
      </c>
      <c r="R70" s="62" t="str">
        <f t="shared" si="16"/>
        <v>Low</v>
      </c>
      <c r="S70" s="87" t="s">
        <v>388</v>
      </c>
      <c r="T70" s="57" t="s">
        <v>389</v>
      </c>
      <c r="U70" s="55" t="s">
        <v>318</v>
      </c>
      <c r="V70" s="55"/>
      <c r="W70" s="55"/>
      <c r="X70" s="55" t="s">
        <v>295</v>
      </c>
      <c r="Y70" s="55"/>
      <c r="Z70" s="56" t="str">
        <f t="shared" si="17"/>
        <v>Yes</v>
      </c>
      <c r="AA70" s="56" t="str">
        <f t="shared" si="13"/>
        <v>30 May,2023</v>
      </c>
    </row>
    <row r="71" spans="1:27" s="26" customFormat="1" ht="41.4" x14ac:dyDescent="0.3">
      <c r="A71" s="42"/>
      <c r="B71" s="44" t="s">
        <v>177</v>
      </c>
      <c r="C71" s="40" t="s">
        <v>135</v>
      </c>
      <c r="D71" s="40">
        <v>3</v>
      </c>
      <c r="E71" s="40">
        <v>3</v>
      </c>
      <c r="F71" s="40">
        <v>3</v>
      </c>
      <c r="G71" s="45">
        <v>9</v>
      </c>
      <c r="H71" s="44" t="s">
        <v>220</v>
      </c>
      <c r="I71" s="44" t="s">
        <v>221</v>
      </c>
      <c r="J71" s="51">
        <v>2</v>
      </c>
      <c r="K71" s="51">
        <v>2</v>
      </c>
      <c r="L71" s="52">
        <f t="shared" si="15"/>
        <v>36</v>
      </c>
      <c r="M71" s="61" t="str">
        <f t="shared" si="14"/>
        <v>Medium</v>
      </c>
      <c r="N71" s="63" t="s">
        <v>315</v>
      </c>
      <c r="O71" s="51">
        <v>1</v>
      </c>
      <c r="P71" s="51">
        <v>1</v>
      </c>
      <c r="Q71" s="53">
        <f t="shared" si="12"/>
        <v>9</v>
      </c>
      <c r="R71" s="62" t="str">
        <f t="shared" si="16"/>
        <v>Low</v>
      </c>
      <c r="S71" s="81" t="s">
        <v>382</v>
      </c>
      <c r="T71" s="57" t="s">
        <v>223</v>
      </c>
      <c r="U71" s="55" t="s">
        <v>318</v>
      </c>
      <c r="V71" s="55"/>
      <c r="W71" s="55"/>
      <c r="X71" s="55" t="s">
        <v>295</v>
      </c>
      <c r="Y71" s="55"/>
      <c r="Z71" s="56" t="str">
        <f t="shared" si="17"/>
        <v>Yes</v>
      </c>
      <c r="AA71" s="56" t="str">
        <f t="shared" si="13"/>
        <v>30 May,2023</v>
      </c>
    </row>
    <row r="72" spans="1:27" s="26" customFormat="1" ht="124.2" x14ac:dyDescent="0.3">
      <c r="A72" s="42"/>
      <c r="B72" s="58" t="s">
        <v>69</v>
      </c>
      <c r="C72" s="40" t="s">
        <v>137</v>
      </c>
      <c r="D72" s="40">
        <v>2</v>
      </c>
      <c r="E72" s="40">
        <v>2</v>
      </c>
      <c r="F72" s="40">
        <v>2</v>
      </c>
      <c r="G72" s="45">
        <v>6</v>
      </c>
      <c r="H72" s="44" t="s">
        <v>216</v>
      </c>
      <c r="I72" s="44" t="s">
        <v>217</v>
      </c>
      <c r="J72" s="51">
        <v>2</v>
      </c>
      <c r="K72" s="51">
        <v>2</v>
      </c>
      <c r="L72" s="52">
        <f t="shared" ref="L72:L81" si="18">K72*J72*G72</f>
        <v>24</v>
      </c>
      <c r="M72" s="61" t="str">
        <f t="shared" si="14"/>
        <v>Medium</v>
      </c>
      <c r="N72" s="83" t="s">
        <v>386</v>
      </c>
      <c r="O72" s="51">
        <v>1</v>
      </c>
      <c r="P72" s="51">
        <v>1</v>
      </c>
      <c r="Q72" s="53">
        <f t="shared" si="12"/>
        <v>6</v>
      </c>
      <c r="R72" s="62" t="str">
        <f t="shared" si="16"/>
        <v>Low</v>
      </c>
      <c r="S72" s="19" t="s">
        <v>387</v>
      </c>
      <c r="T72" s="57" t="s">
        <v>222</v>
      </c>
      <c r="U72" s="55" t="s">
        <v>318</v>
      </c>
      <c r="V72" s="55"/>
      <c r="W72" s="55"/>
      <c r="X72" s="55" t="s">
        <v>295</v>
      </c>
      <c r="Y72" s="55"/>
      <c r="Z72" s="56" t="str">
        <f t="shared" si="17"/>
        <v>Yes</v>
      </c>
      <c r="AA72" s="56" t="str">
        <f t="shared" si="13"/>
        <v>30 May,2023</v>
      </c>
    </row>
    <row r="73" spans="1:27" s="26" customFormat="1" ht="55.2" x14ac:dyDescent="0.3">
      <c r="A73" s="42"/>
      <c r="B73" s="58" t="s">
        <v>69</v>
      </c>
      <c r="C73" s="40" t="s">
        <v>137</v>
      </c>
      <c r="D73" s="40">
        <v>2</v>
      </c>
      <c r="E73" s="40">
        <v>2</v>
      </c>
      <c r="F73" s="40">
        <v>2</v>
      </c>
      <c r="G73" s="45">
        <v>6</v>
      </c>
      <c r="H73" s="44" t="s">
        <v>218</v>
      </c>
      <c r="I73" s="44" t="s">
        <v>219</v>
      </c>
      <c r="J73" s="51">
        <v>2</v>
      </c>
      <c r="K73" s="51">
        <v>2</v>
      </c>
      <c r="L73" s="52">
        <f t="shared" si="18"/>
        <v>24</v>
      </c>
      <c r="M73" s="61" t="str">
        <f t="shared" si="14"/>
        <v>Medium</v>
      </c>
      <c r="N73" s="83" t="s">
        <v>299</v>
      </c>
      <c r="O73" s="51">
        <v>1</v>
      </c>
      <c r="P73" s="51">
        <v>1</v>
      </c>
      <c r="Q73" s="53">
        <f t="shared" ref="Q73:Q98" si="19">O73*P73*G73</f>
        <v>6</v>
      </c>
      <c r="R73" s="62" t="str">
        <f t="shared" si="16"/>
        <v>Low</v>
      </c>
      <c r="S73" s="87" t="s">
        <v>388</v>
      </c>
      <c r="T73" s="57" t="s">
        <v>389</v>
      </c>
      <c r="U73" s="55" t="s">
        <v>318</v>
      </c>
      <c r="V73" s="55"/>
      <c r="W73" s="55"/>
      <c r="X73" s="55" t="s">
        <v>295</v>
      </c>
      <c r="Y73" s="55"/>
      <c r="Z73" s="56" t="str">
        <f t="shared" si="17"/>
        <v>Yes</v>
      </c>
      <c r="AA73" s="56" t="str">
        <f t="shared" ref="AA73:AA98" si="20">IF(Z73="Yes","30 May,2023",IF(Z73="No","30 Aug,2022"))</f>
        <v>30 May,2023</v>
      </c>
    </row>
    <row r="74" spans="1:27" s="26" customFormat="1" ht="41.4" x14ac:dyDescent="0.3">
      <c r="A74" s="42"/>
      <c r="B74" s="58" t="s">
        <v>69</v>
      </c>
      <c r="C74" s="40" t="s">
        <v>137</v>
      </c>
      <c r="D74" s="40">
        <v>2</v>
      </c>
      <c r="E74" s="40">
        <v>2</v>
      </c>
      <c r="F74" s="40">
        <v>2</v>
      </c>
      <c r="G74" s="45">
        <v>6</v>
      </c>
      <c r="H74" s="44" t="s">
        <v>220</v>
      </c>
      <c r="I74" s="44" t="s">
        <v>221</v>
      </c>
      <c r="J74" s="51">
        <v>2</v>
      </c>
      <c r="K74" s="51">
        <v>2</v>
      </c>
      <c r="L74" s="52">
        <f t="shared" si="18"/>
        <v>24</v>
      </c>
      <c r="M74" s="61" t="str">
        <f t="shared" si="14"/>
        <v>Medium</v>
      </c>
      <c r="N74" s="63" t="s">
        <v>315</v>
      </c>
      <c r="O74" s="51">
        <v>1</v>
      </c>
      <c r="P74" s="51">
        <v>1</v>
      </c>
      <c r="Q74" s="53">
        <f t="shared" si="19"/>
        <v>6</v>
      </c>
      <c r="R74" s="62" t="str">
        <f t="shared" si="16"/>
        <v>Low</v>
      </c>
      <c r="S74" s="81" t="s">
        <v>382</v>
      </c>
      <c r="T74" s="57" t="s">
        <v>223</v>
      </c>
      <c r="U74" s="55" t="s">
        <v>318</v>
      </c>
      <c r="V74" s="55"/>
      <c r="W74" s="55"/>
      <c r="X74" s="55" t="s">
        <v>295</v>
      </c>
      <c r="Y74" s="55"/>
      <c r="Z74" s="56" t="str">
        <f t="shared" si="17"/>
        <v>Yes</v>
      </c>
      <c r="AA74" s="56" t="str">
        <f t="shared" si="20"/>
        <v>30 May,2023</v>
      </c>
    </row>
    <row r="75" spans="1:27" s="26" customFormat="1" ht="124.2" x14ac:dyDescent="0.3">
      <c r="A75" s="42"/>
      <c r="B75" s="44" t="s">
        <v>61</v>
      </c>
      <c r="C75" s="40" t="s">
        <v>207</v>
      </c>
      <c r="D75" s="40">
        <v>2</v>
      </c>
      <c r="E75" s="40">
        <v>2</v>
      </c>
      <c r="F75" s="40">
        <v>2</v>
      </c>
      <c r="G75" s="45">
        <v>6</v>
      </c>
      <c r="H75" s="44" t="s">
        <v>216</v>
      </c>
      <c r="I75" s="44" t="s">
        <v>217</v>
      </c>
      <c r="J75" s="51">
        <v>2</v>
      </c>
      <c r="K75" s="51">
        <v>2</v>
      </c>
      <c r="L75" s="52">
        <f t="shared" si="18"/>
        <v>24</v>
      </c>
      <c r="M75" s="61" t="str">
        <f t="shared" ref="M75:M138" si="21">IF(L75&lt;=20,"Low",IF(L75&lt;=40,"Medium",IF(L75&lt;=81,"High")))</f>
        <v>Medium</v>
      </c>
      <c r="N75" s="83" t="s">
        <v>386</v>
      </c>
      <c r="O75" s="51">
        <v>1</v>
      </c>
      <c r="P75" s="51">
        <v>1</v>
      </c>
      <c r="Q75" s="53">
        <f t="shared" si="19"/>
        <v>6</v>
      </c>
      <c r="R75" s="62" t="str">
        <f t="shared" si="16"/>
        <v>Low</v>
      </c>
      <c r="S75" s="19" t="s">
        <v>387</v>
      </c>
      <c r="T75" s="57" t="s">
        <v>222</v>
      </c>
      <c r="U75" s="55" t="s">
        <v>318</v>
      </c>
      <c r="V75" s="55"/>
      <c r="W75" s="55"/>
      <c r="X75" s="55" t="s">
        <v>296</v>
      </c>
      <c r="Y75" s="55"/>
      <c r="Z75" s="56" t="str">
        <f t="shared" si="17"/>
        <v>Yes</v>
      </c>
      <c r="AA75" s="56" t="str">
        <f t="shared" si="20"/>
        <v>30 May,2023</v>
      </c>
    </row>
    <row r="76" spans="1:27" s="26" customFormat="1" ht="55.2" x14ac:dyDescent="0.3">
      <c r="A76" s="42"/>
      <c r="B76" s="44" t="s">
        <v>61</v>
      </c>
      <c r="C76" s="40" t="s">
        <v>207</v>
      </c>
      <c r="D76" s="40">
        <v>2</v>
      </c>
      <c r="E76" s="40">
        <v>2</v>
      </c>
      <c r="F76" s="40">
        <v>2</v>
      </c>
      <c r="G76" s="45">
        <v>6</v>
      </c>
      <c r="H76" s="44" t="s">
        <v>218</v>
      </c>
      <c r="I76" s="44" t="s">
        <v>219</v>
      </c>
      <c r="J76" s="51">
        <v>2</v>
      </c>
      <c r="K76" s="51">
        <v>2</v>
      </c>
      <c r="L76" s="52">
        <f t="shared" si="18"/>
        <v>24</v>
      </c>
      <c r="M76" s="61" t="str">
        <f t="shared" si="21"/>
        <v>Medium</v>
      </c>
      <c r="N76" s="83" t="s">
        <v>299</v>
      </c>
      <c r="O76" s="51">
        <v>1</v>
      </c>
      <c r="P76" s="51">
        <v>1</v>
      </c>
      <c r="Q76" s="53">
        <f t="shared" si="19"/>
        <v>6</v>
      </c>
      <c r="R76" s="62" t="str">
        <f t="shared" si="16"/>
        <v>Low</v>
      </c>
      <c r="S76" s="87" t="s">
        <v>388</v>
      </c>
      <c r="T76" s="57" t="s">
        <v>389</v>
      </c>
      <c r="U76" s="55" t="s">
        <v>318</v>
      </c>
      <c r="V76" s="55"/>
      <c r="W76" s="55"/>
      <c r="X76" s="55" t="s">
        <v>296</v>
      </c>
      <c r="Y76" s="55"/>
      <c r="Z76" s="56" t="str">
        <f t="shared" si="17"/>
        <v>Yes</v>
      </c>
      <c r="AA76" s="56" t="str">
        <f t="shared" si="20"/>
        <v>30 May,2023</v>
      </c>
    </row>
    <row r="77" spans="1:27" s="26" customFormat="1" ht="41.4" x14ac:dyDescent="0.3">
      <c r="A77" s="42"/>
      <c r="B77" s="44" t="s">
        <v>61</v>
      </c>
      <c r="C77" s="40" t="s">
        <v>207</v>
      </c>
      <c r="D77" s="40">
        <v>2</v>
      </c>
      <c r="E77" s="40">
        <v>2</v>
      </c>
      <c r="F77" s="40">
        <v>2</v>
      </c>
      <c r="G77" s="45">
        <v>6</v>
      </c>
      <c r="H77" s="44" t="s">
        <v>220</v>
      </c>
      <c r="I77" s="44" t="s">
        <v>221</v>
      </c>
      <c r="J77" s="51">
        <v>2</v>
      </c>
      <c r="K77" s="51">
        <v>2</v>
      </c>
      <c r="L77" s="52">
        <f t="shared" si="18"/>
        <v>24</v>
      </c>
      <c r="M77" s="61" t="str">
        <f t="shared" si="21"/>
        <v>Medium</v>
      </c>
      <c r="N77" s="63" t="s">
        <v>315</v>
      </c>
      <c r="O77" s="51">
        <v>1</v>
      </c>
      <c r="P77" s="51">
        <v>1</v>
      </c>
      <c r="Q77" s="53">
        <f t="shared" si="19"/>
        <v>6</v>
      </c>
      <c r="R77" s="62" t="str">
        <f t="shared" si="16"/>
        <v>Low</v>
      </c>
      <c r="S77" s="81" t="s">
        <v>382</v>
      </c>
      <c r="T77" s="57" t="s">
        <v>223</v>
      </c>
      <c r="U77" s="55" t="s">
        <v>318</v>
      </c>
      <c r="V77" s="55"/>
      <c r="W77" s="55"/>
      <c r="X77" s="55" t="s">
        <v>296</v>
      </c>
      <c r="Y77" s="55"/>
      <c r="Z77" s="56" t="str">
        <f t="shared" si="17"/>
        <v>Yes</v>
      </c>
      <c r="AA77" s="56" t="str">
        <f t="shared" si="20"/>
        <v>30 May,2023</v>
      </c>
    </row>
    <row r="78" spans="1:27" s="26" customFormat="1" ht="41.4" x14ac:dyDescent="0.3">
      <c r="A78" s="42"/>
      <c r="B78" s="44" t="s">
        <v>82</v>
      </c>
      <c r="C78" s="40" t="s">
        <v>145</v>
      </c>
      <c r="D78" s="40">
        <v>3</v>
      </c>
      <c r="E78" s="40">
        <v>3</v>
      </c>
      <c r="F78" s="40">
        <v>3</v>
      </c>
      <c r="G78" s="45">
        <v>9</v>
      </c>
      <c r="H78" s="44" t="s">
        <v>208</v>
      </c>
      <c r="I78" s="44" t="s">
        <v>209</v>
      </c>
      <c r="J78" s="51">
        <v>2</v>
      </c>
      <c r="K78" s="51">
        <v>2</v>
      </c>
      <c r="L78" s="52">
        <f t="shared" si="18"/>
        <v>36</v>
      </c>
      <c r="M78" s="61" t="str">
        <f t="shared" si="21"/>
        <v>Medium</v>
      </c>
      <c r="N78" s="85" t="s">
        <v>313</v>
      </c>
      <c r="O78" s="51">
        <v>1</v>
      </c>
      <c r="P78" s="51">
        <v>1</v>
      </c>
      <c r="Q78" s="53">
        <f t="shared" si="19"/>
        <v>9</v>
      </c>
      <c r="R78" s="62" t="str">
        <f t="shared" si="16"/>
        <v>Low</v>
      </c>
      <c r="S78" s="88" t="s">
        <v>393</v>
      </c>
      <c r="T78" s="89" t="s">
        <v>314</v>
      </c>
      <c r="U78" s="55" t="s">
        <v>318</v>
      </c>
      <c r="V78" s="55"/>
      <c r="W78" s="55"/>
      <c r="X78" s="55" t="s">
        <v>293</v>
      </c>
      <c r="Y78" s="55"/>
      <c r="Z78" s="56" t="str">
        <f t="shared" si="17"/>
        <v>Yes</v>
      </c>
      <c r="AA78" s="56" t="str">
        <f t="shared" si="20"/>
        <v>30 May,2023</v>
      </c>
    </row>
    <row r="79" spans="1:27" s="26" customFormat="1" ht="124.2" x14ac:dyDescent="0.3">
      <c r="A79" s="42"/>
      <c r="B79" s="44" t="s">
        <v>80</v>
      </c>
      <c r="C79" s="40" t="s">
        <v>143</v>
      </c>
      <c r="D79" s="40">
        <v>3</v>
      </c>
      <c r="E79" s="40">
        <v>3</v>
      </c>
      <c r="F79" s="40">
        <v>3</v>
      </c>
      <c r="G79" s="45">
        <v>9</v>
      </c>
      <c r="H79" s="44" t="s">
        <v>216</v>
      </c>
      <c r="I79" s="44" t="s">
        <v>217</v>
      </c>
      <c r="J79" s="51">
        <v>2</v>
      </c>
      <c r="K79" s="51">
        <v>2</v>
      </c>
      <c r="L79" s="52">
        <f t="shared" si="18"/>
        <v>36</v>
      </c>
      <c r="M79" s="61" t="str">
        <f t="shared" si="21"/>
        <v>Medium</v>
      </c>
      <c r="N79" s="83" t="s">
        <v>386</v>
      </c>
      <c r="O79" s="51">
        <v>1</v>
      </c>
      <c r="P79" s="51">
        <v>1</v>
      </c>
      <c r="Q79" s="53">
        <f t="shared" si="19"/>
        <v>9</v>
      </c>
      <c r="R79" s="62" t="str">
        <f t="shared" si="16"/>
        <v>Low</v>
      </c>
      <c r="S79" s="19" t="s">
        <v>387</v>
      </c>
      <c r="T79" s="57" t="s">
        <v>222</v>
      </c>
      <c r="U79" s="55" t="s">
        <v>318</v>
      </c>
      <c r="V79" s="55"/>
      <c r="W79" s="55"/>
      <c r="X79" s="55" t="s">
        <v>293</v>
      </c>
      <c r="Y79" s="55"/>
      <c r="Z79" s="56" t="str">
        <f t="shared" si="17"/>
        <v>Yes</v>
      </c>
      <c r="AA79" s="56" t="str">
        <f t="shared" si="20"/>
        <v>30 May,2023</v>
      </c>
    </row>
    <row r="80" spans="1:27" s="26" customFormat="1" ht="55.2" x14ac:dyDescent="0.3">
      <c r="A80" s="42"/>
      <c r="B80" s="44" t="s">
        <v>80</v>
      </c>
      <c r="C80" s="40" t="s">
        <v>143</v>
      </c>
      <c r="D80" s="40">
        <v>3</v>
      </c>
      <c r="E80" s="40">
        <v>3</v>
      </c>
      <c r="F80" s="40">
        <v>3</v>
      </c>
      <c r="G80" s="45">
        <v>9</v>
      </c>
      <c r="H80" s="44" t="s">
        <v>218</v>
      </c>
      <c r="I80" s="44" t="s">
        <v>219</v>
      </c>
      <c r="J80" s="51">
        <v>2</v>
      </c>
      <c r="K80" s="51">
        <v>2</v>
      </c>
      <c r="L80" s="52">
        <f t="shared" si="18"/>
        <v>36</v>
      </c>
      <c r="M80" s="61" t="str">
        <f t="shared" si="21"/>
        <v>Medium</v>
      </c>
      <c r="N80" s="83" t="s">
        <v>299</v>
      </c>
      <c r="O80" s="51">
        <v>1</v>
      </c>
      <c r="P80" s="51">
        <v>1</v>
      </c>
      <c r="Q80" s="53">
        <f t="shared" si="19"/>
        <v>9</v>
      </c>
      <c r="R80" s="62" t="str">
        <f t="shared" si="16"/>
        <v>Low</v>
      </c>
      <c r="S80" s="87" t="s">
        <v>388</v>
      </c>
      <c r="T80" s="57" t="s">
        <v>389</v>
      </c>
      <c r="U80" s="55" t="s">
        <v>318</v>
      </c>
      <c r="V80" s="55"/>
      <c r="W80" s="55"/>
      <c r="X80" s="55" t="s">
        <v>293</v>
      </c>
      <c r="Y80" s="55"/>
      <c r="Z80" s="56" t="str">
        <f t="shared" si="17"/>
        <v>Yes</v>
      </c>
      <c r="AA80" s="56" t="str">
        <f t="shared" si="20"/>
        <v>30 May,2023</v>
      </c>
    </row>
    <row r="81" spans="1:27" s="22" customFormat="1" ht="41.4" x14ac:dyDescent="0.3">
      <c r="A81" s="42"/>
      <c r="B81" s="44" t="s">
        <v>80</v>
      </c>
      <c r="C81" s="40" t="s">
        <v>143</v>
      </c>
      <c r="D81" s="40">
        <v>3</v>
      </c>
      <c r="E81" s="40">
        <v>3</v>
      </c>
      <c r="F81" s="40">
        <v>3</v>
      </c>
      <c r="G81" s="45">
        <v>9</v>
      </c>
      <c r="H81" s="44" t="s">
        <v>220</v>
      </c>
      <c r="I81" s="44" t="s">
        <v>221</v>
      </c>
      <c r="J81" s="51">
        <v>2</v>
      </c>
      <c r="K81" s="51">
        <v>2</v>
      </c>
      <c r="L81" s="52">
        <f t="shared" si="18"/>
        <v>36</v>
      </c>
      <c r="M81" s="61" t="str">
        <f t="shared" si="21"/>
        <v>Medium</v>
      </c>
      <c r="N81" s="63" t="s">
        <v>315</v>
      </c>
      <c r="O81" s="51">
        <v>1</v>
      </c>
      <c r="P81" s="51">
        <v>1</v>
      </c>
      <c r="Q81" s="53">
        <f t="shared" si="19"/>
        <v>9</v>
      </c>
      <c r="R81" s="62" t="str">
        <f t="shared" si="16"/>
        <v>Low</v>
      </c>
      <c r="S81" s="81" t="s">
        <v>382</v>
      </c>
      <c r="T81" s="57" t="s">
        <v>223</v>
      </c>
      <c r="U81" s="55" t="s">
        <v>318</v>
      </c>
      <c r="V81" s="55"/>
      <c r="W81" s="55"/>
      <c r="X81" s="55" t="s">
        <v>293</v>
      </c>
      <c r="Y81" s="55"/>
      <c r="Z81" s="56" t="str">
        <f t="shared" si="17"/>
        <v>Yes</v>
      </c>
      <c r="AA81" s="56" t="str">
        <f t="shared" si="20"/>
        <v>30 May,2023</v>
      </c>
    </row>
    <row r="82" spans="1:27" s="22" customFormat="1" ht="145.19999999999999" x14ac:dyDescent="0.3">
      <c r="A82" s="42"/>
      <c r="B82" s="44" t="s">
        <v>76</v>
      </c>
      <c r="C82" s="40" t="s">
        <v>195</v>
      </c>
      <c r="D82" s="40">
        <v>2</v>
      </c>
      <c r="E82" s="40">
        <v>2</v>
      </c>
      <c r="F82" s="40">
        <v>2</v>
      </c>
      <c r="G82" s="45">
        <v>6</v>
      </c>
      <c r="H82" s="44" t="s">
        <v>214</v>
      </c>
      <c r="I82" s="44" t="s">
        <v>215</v>
      </c>
      <c r="J82" s="51">
        <v>2</v>
      </c>
      <c r="K82" s="51">
        <v>2</v>
      </c>
      <c r="L82" s="52">
        <f t="shared" ref="L82:L91" si="22">K82*J82*G82</f>
        <v>24</v>
      </c>
      <c r="M82" s="61" t="str">
        <f t="shared" si="21"/>
        <v>Medium</v>
      </c>
      <c r="N82" s="63" t="s">
        <v>316</v>
      </c>
      <c r="O82" s="51">
        <v>1</v>
      </c>
      <c r="P82" s="51">
        <v>1</v>
      </c>
      <c r="Q82" s="53">
        <f t="shared" si="19"/>
        <v>6</v>
      </c>
      <c r="R82" s="62" t="str">
        <f t="shared" si="16"/>
        <v>Low</v>
      </c>
      <c r="S82" s="19" t="s">
        <v>394</v>
      </c>
      <c r="T82" s="80" t="s">
        <v>312</v>
      </c>
      <c r="U82" s="55" t="s">
        <v>318</v>
      </c>
      <c r="V82" s="55"/>
      <c r="W82" s="55"/>
      <c r="X82" s="55" t="s">
        <v>293</v>
      </c>
      <c r="Y82" s="55"/>
      <c r="Z82" s="56" t="str">
        <f t="shared" si="17"/>
        <v>Yes</v>
      </c>
      <c r="AA82" s="56" t="str">
        <f t="shared" si="20"/>
        <v>30 May,2023</v>
      </c>
    </row>
    <row r="83" spans="1:27" s="22" customFormat="1" ht="82.8" x14ac:dyDescent="0.3">
      <c r="A83" s="42"/>
      <c r="B83" s="44" t="s">
        <v>59</v>
      </c>
      <c r="C83" s="40" t="s">
        <v>118</v>
      </c>
      <c r="D83" s="40">
        <v>3</v>
      </c>
      <c r="E83" s="40">
        <v>3</v>
      </c>
      <c r="F83" s="40">
        <v>3</v>
      </c>
      <c r="G83" s="45">
        <v>9</v>
      </c>
      <c r="H83" s="44" t="s">
        <v>210</v>
      </c>
      <c r="I83" s="43" t="s">
        <v>204</v>
      </c>
      <c r="J83" s="51">
        <v>2</v>
      </c>
      <c r="K83" s="51">
        <v>2</v>
      </c>
      <c r="L83" s="52">
        <f t="shared" si="22"/>
        <v>36</v>
      </c>
      <c r="M83" s="61" t="str">
        <f t="shared" si="21"/>
        <v>Medium</v>
      </c>
      <c r="N83" s="84" t="s">
        <v>385</v>
      </c>
      <c r="O83" s="51">
        <v>1</v>
      </c>
      <c r="P83" s="51">
        <v>1</v>
      </c>
      <c r="Q83" s="53">
        <f t="shared" si="19"/>
        <v>9</v>
      </c>
      <c r="R83" s="62" t="str">
        <f t="shared" si="16"/>
        <v>Low</v>
      </c>
      <c r="S83" s="19" t="s">
        <v>384</v>
      </c>
      <c r="T83" s="57" t="s">
        <v>213</v>
      </c>
      <c r="U83" s="55" t="s">
        <v>318</v>
      </c>
      <c r="V83" s="55"/>
      <c r="W83" s="55"/>
      <c r="X83" s="55" t="s">
        <v>292</v>
      </c>
      <c r="Y83" s="55"/>
      <c r="Z83" s="56" t="str">
        <f t="shared" si="17"/>
        <v>Yes</v>
      </c>
      <c r="AA83" s="56" t="str">
        <f t="shared" si="20"/>
        <v>30 May,2023</v>
      </c>
    </row>
    <row r="84" spans="1:27" s="22" customFormat="1" ht="41.4" x14ac:dyDescent="0.3">
      <c r="A84" s="41"/>
      <c r="B84" s="44" t="s">
        <v>59</v>
      </c>
      <c r="C84" s="40" t="s">
        <v>121</v>
      </c>
      <c r="D84" s="40">
        <v>3</v>
      </c>
      <c r="E84" s="40">
        <v>3</v>
      </c>
      <c r="F84" s="40">
        <v>3</v>
      </c>
      <c r="G84" s="45">
        <v>9</v>
      </c>
      <c r="H84" s="44" t="s">
        <v>208</v>
      </c>
      <c r="I84" s="44" t="s">
        <v>209</v>
      </c>
      <c r="J84" s="51">
        <v>2</v>
      </c>
      <c r="K84" s="51">
        <v>2</v>
      </c>
      <c r="L84" s="52">
        <f t="shared" si="22"/>
        <v>36</v>
      </c>
      <c r="M84" s="61" t="str">
        <f t="shared" si="21"/>
        <v>Medium</v>
      </c>
      <c r="N84" s="85" t="s">
        <v>313</v>
      </c>
      <c r="O84" s="51">
        <v>1</v>
      </c>
      <c r="P84" s="51">
        <v>1</v>
      </c>
      <c r="Q84" s="53">
        <f t="shared" si="19"/>
        <v>9</v>
      </c>
      <c r="R84" s="62" t="str">
        <f t="shared" si="16"/>
        <v>Low</v>
      </c>
      <c r="S84" s="88" t="s">
        <v>393</v>
      </c>
      <c r="T84" s="89" t="s">
        <v>314</v>
      </c>
      <c r="U84" s="55" t="s">
        <v>318</v>
      </c>
      <c r="V84" s="55"/>
      <c r="W84" s="55"/>
      <c r="X84" s="55" t="s">
        <v>292</v>
      </c>
      <c r="Y84" s="55"/>
      <c r="Z84" s="56" t="str">
        <f t="shared" si="17"/>
        <v>Yes</v>
      </c>
      <c r="AA84" s="56" t="str">
        <f t="shared" si="20"/>
        <v>30 May,2023</v>
      </c>
    </row>
    <row r="85" spans="1:27" s="22" customFormat="1" ht="145.19999999999999" x14ac:dyDescent="0.3">
      <c r="A85" s="42"/>
      <c r="B85" s="44" t="s">
        <v>59</v>
      </c>
      <c r="C85" s="40" t="s">
        <v>130</v>
      </c>
      <c r="D85" s="40">
        <v>3</v>
      </c>
      <c r="E85" s="40">
        <v>3</v>
      </c>
      <c r="F85" s="40">
        <v>3</v>
      </c>
      <c r="G85" s="45">
        <v>9</v>
      </c>
      <c r="H85" s="44" t="s">
        <v>214</v>
      </c>
      <c r="I85" s="44" t="s">
        <v>215</v>
      </c>
      <c r="J85" s="51">
        <v>2</v>
      </c>
      <c r="K85" s="51">
        <v>2</v>
      </c>
      <c r="L85" s="52">
        <f t="shared" si="22"/>
        <v>36</v>
      </c>
      <c r="M85" s="61" t="str">
        <f t="shared" si="21"/>
        <v>Medium</v>
      </c>
      <c r="N85" s="63" t="s">
        <v>316</v>
      </c>
      <c r="O85" s="51">
        <v>1</v>
      </c>
      <c r="P85" s="51">
        <v>1</v>
      </c>
      <c r="Q85" s="53">
        <f t="shared" si="19"/>
        <v>9</v>
      </c>
      <c r="R85" s="62" t="str">
        <f t="shared" ref="R85:R112" si="23">IF(Q85&lt;=20,"Low",IF(Q85&lt;=40,"Medium",IF(Q85&lt;=81,"High")))</f>
        <v>Low</v>
      </c>
      <c r="S85" s="19" t="s">
        <v>394</v>
      </c>
      <c r="T85" s="80" t="s">
        <v>312</v>
      </c>
      <c r="U85" s="55" t="s">
        <v>318</v>
      </c>
      <c r="V85" s="55"/>
      <c r="W85" s="55"/>
      <c r="X85" s="55" t="s">
        <v>292</v>
      </c>
      <c r="Y85" s="55"/>
      <c r="Z85" s="56" t="str">
        <f t="shared" si="17"/>
        <v>Yes</v>
      </c>
      <c r="AA85" s="56" t="str">
        <f t="shared" si="20"/>
        <v>30 May,2023</v>
      </c>
    </row>
    <row r="86" spans="1:27" s="22" customFormat="1" ht="82.8" x14ac:dyDescent="0.3">
      <c r="A86" s="42"/>
      <c r="B86" s="44" t="s">
        <v>59</v>
      </c>
      <c r="C86" s="40" t="s">
        <v>131</v>
      </c>
      <c r="D86" s="40">
        <v>3</v>
      </c>
      <c r="E86" s="40">
        <v>3</v>
      </c>
      <c r="F86" s="40">
        <v>3</v>
      </c>
      <c r="G86" s="45">
        <v>9</v>
      </c>
      <c r="H86" s="44" t="s">
        <v>210</v>
      </c>
      <c r="I86" s="43" t="s">
        <v>204</v>
      </c>
      <c r="J86" s="51">
        <v>2</v>
      </c>
      <c r="K86" s="51">
        <v>2</v>
      </c>
      <c r="L86" s="52">
        <f t="shared" si="22"/>
        <v>36</v>
      </c>
      <c r="M86" s="61" t="str">
        <f t="shared" si="21"/>
        <v>Medium</v>
      </c>
      <c r="N86" s="84" t="s">
        <v>385</v>
      </c>
      <c r="O86" s="51">
        <v>1</v>
      </c>
      <c r="P86" s="51">
        <v>1</v>
      </c>
      <c r="Q86" s="53">
        <f t="shared" si="19"/>
        <v>9</v>
      </c>
      <c r="R86" s="62" t="str">
        <f t="shared" si="23"/>
        <v>Low</v>
      </c>
      <c r="S86" s="19" t="s">
        <v>384</v>
      </c>
      <c r="T86" s="57" t="s">
        <v>213</v>
      </c>
      <c r="U86" s="55" t="s">
        <v>318</v>
      </c>
      <c r="V86" s="55"/>
      <c r="W86" s="55"/>
      <c r="X86" s="55" t="s">
        <v>292</v>
      </c>
      <c r="Y86" s="55"/>
      <c r="Z86" s="56" t="str">
        <f t="shared" si="17"/>
        <v>Yes</v>
      </c>
      <c r="AA86" s="56" t="str">
        <f t="shared" si="20"/>
        <v>30 May,2023</v>
      </c>
    </row>
    <row r="87" spans="1:27" s="22" customFormat="1" ht="41.4" x14ac:dyDescent="0.3">
      <c r="A87" s="41"/>
      <c r="B87" s="44" t="s">
        <v>57</v>
      </c>
      <c r="C87" s="40" t="s">
        <v>110</v>
      </c>
      <c r="D87" s="40">
        <v>3</v>
      </c>
      <c r="E87" s="40">
        <v>3</v>
      </c>
      <c r="F87" s="40">
        <v>3</v>
      </c>
      <c r="G87" s="45">
        <v>9</v>
      </c>
      <c r="H87" s="44" t="s">
        <v>208</v>
      </c>
      <c r="I87" s="44" t="s">
        <v>209</v>
      </c>
      <c r="J87" s="51">
        <v>2</v>
      </c>
      <c r="K87" s="51">
        <v>2</v>
      </c>
      <c r="L87" s="52">
        <f t="shared" si="22"/>
        <v>36</v>
      </c>
      <c r="M87" s="61" t="str">
        <f t="shared" si="21"/>
        <v>Medium</v>
      </c>
      <c r="N87" s="85" t="s">
        <v>313</v>
      </c>
      <c r="O87" s="51">
        <v>1</v>
      </c>
      <c r="P87" s="51">
        <v>1</v>
      </c>
      <c r="Q87" s="53">
        <f t="shared" si="19"/>
        <v>9</v>
      </c>
      <c r="R87" s="62" t="str">
        <f t="shared" si="23"/>
        <v>Low</v>
      </c>
      <c r="S87" s="88" t="s">
        <v>393</v>
      </c>
      <c r="T87" s="89" t="s">
        <v>314</v>
      </c>
      <c r="U87" s="55" t="s">
        <v>318</v>
      </c>
      <c r="V87" s="55"/>
      <c r="W87" s="55"/>
      <c r="X87" s="55" t="s">
        <v>292</v>
      </c>
      <c r="Y87" s="55"/>
      <c r="Z87" s="56" t="str">
        <f t="shared" si="17"/>
        <v>Yes</v>
      </c>
      <c r="AA87" s="56" t="str">
        <f t="shared" si="20"/>
        <v>30 May,2023</v>
      </c>
    </row>
    <row r="88" spans="1:27" s="22" customFormat="1" ht="124.2" x14ac:dyDescent="0.3">
      <c r="A88" s="42"/>
      <c r="B88" s="44" t="s">
        <v>95</v>
      </c>
      <c r="C88" s="40" t="s">
        <v>156</v>
      </c>
      <c r="D88" s="40">
        <v>3</v>
      </c>
      <c r="E88" s="40">
        <v>3</v>
      </c>
      <c r="F88" s="40">
        <v>3</v>
      </c>
      <c r="G88" s="45">
        <v>9</v>
      </c>
      <c r="H88" s="44" t="s">
        <v>216</v>
      </c>
      <c r="I88" s="44" t="s">
        <v>217</v>
      </c>
      <c r="J88" s="51">
        <v>2</v>
      </c>
      <c r="K88" s="51">
        <v>2</v>
      </c>
      <c r="L88" s="52">
        <f t="shared" si="22"/>
        <v>36</v>
      </c>
      <c r="M88" s="61" t="str">
        <f t="shared" si="21"/>
        <v>Medium</v>
      </c>
      <c r="N88" s="83" t="s">
        <v>386</v>
      </c>
      <c r="O88" s="51">
        <v>1</v>
      </c>
      <c r="P88" s="51">
        <v>1</v>
      </c>
      <c r="Q88" s="53">
        <f t="shared" si="19"/>
        <v>9</v>
      </c>
      <c r="R88" s="62" t="str">
        <f t="shared" si="23"/>
        <v>Low</v>
      </c>
      <c r="S88" s="19" t="s">
        <v>387</v>
      </c>
      <c r="T88" s="57" t="s">
        <v>222</v>
      </c>
      <c r="U88" s="55" t="s">
        <v>318</v>
      </c>
      <c r="V88" s="55"/>
      <c r="W88" s="55"/>
      <c r="X88" s="55" t="s">
        <v>292</v>
      </c>
      <c r="Y88" s="55"/>
      <c r="Z88" s="56" t="str">
        <f t="shared" si="17"/>
        <v>Yes</v>
      </c>
      <c r="AA88" s="56" t="str">
        <f t="shared" si="20"/>
        <v>30 May,2023</v>
      </c>
    </row>
    <row r="89" spans="1:27" s="26" customFormat="1" ht="55.2" x14ac:dyDescent="0.3">
      <c r="A89" s="42"/>
      <c r="B89" s="44" t="s">
        <v>95</v>
      </c>
      <c r="C89" s="40" t="s">
        <v>156</v>
      </c>
      <c r="D89" s="40">
        <v>3</v>
      </c>
      <c r="E89" s="40">
        <v>3</v>
      </c>
      <c r="F89" s="40">
        <v>3</v>
      </c>
      <c r="G89" s="45">
        <v>9</v>
      </c>
      <c r="H89" s="44" t="s">
        <v>218</v>
      </c>
      <c r="I89" s="44" t="s">
        <v>219</v>
      </c>
      <c r="J89" s="51">
        <v>2</v>
      </c>
      <c r="K89" s="51">
        <v>2</v>
      </c>
      <c r="L89" s="52">
        <f t="shared" si="22"/>
        <v>36</v>
      </c>
      <c r="M89" s="61" t="str">
        <f t="shared" si="21"/>
        <v>Medium</v>
      </c>
      <c r="N89" s="83" t="s">
        <v>299</v>
      </c>
      <c r="O89" s="51">
        <v>1</v>
      </c>
      <c r="P89" s="51">
        <v>1</v>
      </c>
      <c r="Q89" s="53">
        <f t="shared" si="19"/>
        <v>9</v>
      </c>
      <c r="R89" s="62" t="str">
        <f t="shared" si="23"/>
        <v>Low</v>
      </c>
      <c r="S89" s="87" t="s">
        <v>388</v>
      </c>
      <c r="T89" s="57" t="s">
        <v>389</v>
      </c>
      <c r="U89" s="55" t="s">
        <v>318</v>
      </c>
      <c r="V89" s="55"/>
      <c r="W89" s="55"/>
      <c r="X89" s="55" t="s">
        <v>292</v>
      </c>
      <c r="Y89" s="55"/>
      <c r="Z89" s="56" t="str">
        <f t="shared" si="17"/>
        <v>Yes</v>
      </c>
      <c r="AA89" s="56" t="str">
        <f t="shared" si="20"/>
        <v>30 May,2023</v>
      </c>
    </row>
    <row r="90" spans="1:27" s="26" customFormat="1" ht="41.4" x14ac:dyDescent="0.3">
      <c r="A90" s="42"/>
      <c r="B90" s="44" t="s">
        <v>95</v>
      </c>
      <c r="C90" s="40" t="s">
        <v>156</v>
      </c>
      <c r="D90" s="40">
        <v>3</v>
      </c>
      <c r="E90" s="40">
        <v>3</v>
      </c>
      <c r="F90" s="40">
        <v>3</v>
      </c>
      <c r="G90" s="45">
        <v>9</v>
      </c>
      <c r="H90" s="44" t="s">
        <v>220</v>
      </c>
      <c r="I90" s="44" t="s">
        <v>221</v>
      </c>
      <c r="J90" s="51">
        <v>2</v>
      </c>
      <c r="K90" s="51">
        <v>2</v>
      </c>
      <c r="L90" s="52">
        <f t="shared" si="22"/>
        <v>36</v>
      </c>
      <c r="M90" s="61" t="str">
        <f t="shared" si="21"/>
        <v>Medium</v>
      </c>
      <c r="N90" s="63" t="s">
        <v>315</v>
      </c>
      <c r="O90" s="51">
        <v>1</v>
      </c>
      <c r="P90" s="51">
        <v>1</v>
      </c>
      <c r="Q90" s="53">
        <f t="shared" si="19"/>
        <v>9</v>
      </c>
      <c r="R90" s="62" t="str">
        <f t="shared" si="23"/>
        <v>Low</v>
      </c>
      <c r="S90" s="81" t="s">
        <v>382</v>
      </c>
      <c r="T90" s="57" t="s">
        <v>223</v>
      </c>
      <c r="U90" s="55" t="s">
        <v>318</v>
      </c>
      <c r="V90" s="55"/>
      <c r="W90" s="55"/>
      <c r="X90" s="55" t="s">
        <v>292</v>
      </c>
      <c r="Y90" s="55"/>
      <c r="Z90" s="56" t="str">
        <f t="shared" si="17"/>
        <v>Yes</v>
      </c>
      <c r="AA90" s="56" t="str">
        <f t="shared" si="20"/>
        <v>30 May,2023</v>
      </c>
    </row>
    <row r="91" spans="1:27" s="26" customFormat="1" ht="82.8" x14ac:dyDescent="0.3">
      <c r="A91" s="42"/>
      <c r="B91" s="44" t="s">
        <v>53</v>
      </c>
      <c r="C91" s="40" t="s">
        <v>108</v>
      </c>
      <c r="D91" s="40">
        <v>3</v>
      </c>
      <c r="E91" s="40">
        <v>3</v>
      </c>
      <c r="F91" s="40">
        <v>3</v>
      </c>
      <c r="G91" s="45">
        <v>9</v>
      </c>
      <c r="H91" s="44" t="s">
        <v>210</v>
      </c>
      <c r="I91" s="43" t="s">
        <v>204</v>
      </c>
      <c r="J91" s="51">
        <v>2</v>
      </c>
      <c r="K91" s="51">
        <v>2</v>
      </c>
      <c r="L91" s="52">
        <f t="shared" si="22"/>
        <v>36</v>
      </c>
      <c r="M91" s="61" t="str">
        <f t="shared" si="21"/>
        <v>Medium</v>
      </c>
      <c r="N91" s="84" t="s">
        <v>385</v>
      </c>
      <c r="O91" s="51">
        <v>1</v>
      </c>
      <c r="P91" s="51">
        <v>1</v>
      </c>
      <c r="Q91" s="53">
        <f t="shared" si="19"/>
        <v>9</v>
      </c>
      <c r="R91" s="62" t="str">
        <f t="shared" si="23"/>
        <v>Low</v>
      </c>
      <c r="S91" s="19" t="s">
        <v>384</v>
      </c>
      <c r="T91" s="57" t="s">
        <v>213</v>
      </c>
      <c r="U91" s="55" t="s">
        <v>318</v>
      </c>
      <c r="V91" s="55"/>
      <c r="W91" s="55"/>
      <c r="X91" s="55" t="s">
        <v>292</v>
      </c>
      <c r="Y91" s="55"/>
      <c r="Z91" s="56" t="str">
        <f t="shared" si="17"/>
        <v>Yes</v>
      </c>
      <c r="AA91" s="56" t="str">
        <f t="shared" si="20"/>
        <v>30 May,2023</v>
      </c>
    </row>
    <row r="92" spans="1:27" s="26" customFormat="1" ht="82.8" x14ac:dyDescent="0.3">
      <c r="A92" s="42"/>
      <c r="B92" s="44" t="s">
        <v>51</v>
      </c>
      <c r="C92" s="40" t="s">
        <v>107</v>
      </c>
      <c r="D92" s="40">
        <v>2</v>
      </c>
      <c r="E92" s="40">
        <v>2</v>
      </c>
      <c r="F92" s="40">
        <v>2</v>
      </c>
      <c r="G92" s="45">
        <v>6</v>
      </c>
      <c r="H92" s="42" t="s">
        <v>42</v>
      </c>
      <c r="I92" s="43" t="s">
        <v>204</v>
      </c>
      <c r="J92" s="51">
        <v>2</v>
      </c>
      <c r="K92" s="51">
        <v>2</v>
      </c>
      <c r="L92" s="52">
        <f t="shared" ref="L92:L95" si="24">K92*J92*G92</f>
        <v>24</v>
      </c>
      <c r="M92" s="61" t="str">
        <f t="shared" si="21"/>
        <v>Medium</v>
      </c>
      <c r="N92" s="84" t="s">
        <v>385</v>
      </c>
      <c r="O92" s="51">
        <v>1</v>
      </c>
      <c r="P92" s="51">
        <v>1</v>
      </c>
      <c r="Q92" s="53">
        <f t="shared" si="19"/>
        <v>6</v>
      </c>
      <c r="R92" s="62" t="str">
        <f t="shared" si="23"/>
        <v>Low</v>
      </c>
      <c r="S92" s="19" t="s">
        <v>384</v>
      </c>
      <c r="T92" s="57" t="s">
        <v>213</v>
      </c>
      <c r="U92" s="55" t="s">
        <v>318</v>
      </c>
      <c r="V92" s="55"/>
      <c r="W92" s="55"/>
      <c r="X92" s="55" t="s">
        <v>293</v>
      </c>
      <c r="Y92" s="55"/>
      <c r="Z92" s="56" t="str">
        <f t="shared" si="17"/>
        <v>Yes</v>
      </c>
      <c r="AA92" s="56" t="str">
        <f t="shared" si="20"/>
        <v>30 May,2023</v>
      </c>
    </row>
    <row r="93" spans="1:27" s="26" customFormat="1" ht="124.2" x14ac:dyDescent="0.3">
      <c r="A93" s="42"/>
      <c r="B93" s="44" t="s">
        <v>49</v>
      </c>
      <c r="C93" s="40" t="s">
        <v>106</v>
      </c>
      <c r="D93" s="40">
        <v>2</v>
      </c>
      <c r="E93" s="40">
        <v>2</v>
      </c>
      <c r="F93" s="40">
        <v>2</v>
      </c>
      <c r="G93" s="45">
        <v>6</v>
      </c>
      <c r="H93" s="44" t="s">
        <v>216</v>
      </c>
      <c r="I93" s="44" t="s">
        <v>217</v>
      </c>
      <c r="J93" s="51">
        <v>2</v>
      </c>
      <c r="K93" s="51">
        <v>2</v>
      </c>
      <c r="L93" s="52">
        <f t="shared" si="24"/>
        <v>24</v>
      </c>
      <c r="M93" s="61" t="str">
        <f t="shared" si="21"/>
        <v>Medium</v>
      </c>
      <c r="N93" s="83" t="s">
        <v>386</v>
      </c>
      <c r="O93" s="51">
        <v>1</v>
      </c>
      <c r="P93" s="51">
        <v>1</v>
      </c>
      <c r="Q93" s="53">
        <f t="shared" si="19"/>
        <v>6</v>
      </c>
      <c r="R93" s="62" t="str">
        <f t="shared" si="23"/>
        <v>Low</v>
      </c>
      <c r="S93" s="19" t="s">
        <v>387</v>
      </c>
      <c r="T93" s="57" t="s">
        <v>222</v>
      </c>
      <c r="U93" s="55" t="s">
        <v>318</v>
      </c>
      <c r="V93" s="55"/>
      <c r="W93" s="55"/>
      <c r="X93" s="55" t="s">
        <v>293</v>
      </c>
      <c r="Y93" s="55"/>
      <c r="Z93" s="56" t="str">
        <f t="shared" si="17"/>
        <v>Yes</v>
      </c>
      <c r="AA93" s="56" t="str">
        <f t="shared" si="20"/>
        <v>30 May,2023</v>
      </c>
    </row>
    <row r="94" spans="1:27" s="26" customFormat="1" ht="55.2" x14ac:dyDescent="0.3">
      <c r="A94" s="42"/>
      <c r="B94" s="44" t="s">
        <v>49</v>
      </c>
      <c r="C94" s="40" t="s">
        <v>106</v>
      </c>
      <c r="D94" s="40">
        <v>2</v>
      </c>
      <c r="E94" s="40">
        <v>2</v>
      </c>
      <c r="F94" s="40">
        <v>2</v>
      </c>
      <c r="G94" s="45">
        <v>6</v>
      </c>
      <c r="H94" s="44" t="s">
        <v>218</v>
      </c>
      <c r="I94" s="44" t="s">
        <v>219</v>
      </c>
      <c r="J94" s="51">
        <v>2</v>
      </c>
      <c r="K94" s="51">
        <v>2</v>
      </c>
      <c r="L94" s="52">
        <f t="shared" si="24"/>
        <v>24</v>
      </c>
      <c r="M94" s="61" t="str">
        <f t="shared" si="21"/>
        <v>Medium</v>
      </c>
      <c r="N94" s="83" t="s">
        <v>299</v>
      </c>
      <c r="O94" s="51">
        <v>1</v>
      </c>
      <c r="P94" s="51">
        <v>1</v>
      </c>
      <c r="Q94" s="53">
        <f t="shared" si="19"/>
        <v>6</v>
      </c>
      <c r="R94" s="62" t="str">
        <f t="shared" si="23"/>
        <v>Low</v>
      </c>
      <c r="S94" s="87" t="s">
        <v>388</v>
      </c>
      <c r="T94" s="57" t="s">
        <v>389</v>
      </c>
      <c r="U94" s="55" t="s">
        <v>318</v>
      </c>
      <c r="V94" s="55"/>
      <c r="W94" s="55"/>
      <c r="X94" s="55" t="s">
        <v>293</v>
      </c>
      <c r="Y94" s="55"/>
      <c r="Z94" s="56" t="str">
        <f t="shared" si="17"/>
        <v>Yes</v>
      </c>
      <c r="AA94" s="56" t="str">
        <f t="shared" si="20"/>
        <v>30 May,2023</v>
      </c>
    </row>
    <row r="95" spans="1:27" s="22" customFormat="1" ht="41.4" x14ac:dyDescent="0.3">
      <c r="A95" s="42"/>
      <c r="B95" s="44" t="s">
        <v>49</v>
      </c>
      <c r="C95" s="40" t="s">
        <v>106</v>
      </c>
      <c r="D95" s="40">
        <v>2</v>
      </c>
      <c r="E95" s="40">
        <v>2</v>
      </c>
      <c r="F95" s="40">
        <v>2</v>
      </c>
      <c r="G95" s="45">
        <v>6</v>
      </c>
      <c r="H95" s="44" t="s">
        <v>220</v>
      </c>
      <c r="I95" s="44" t="s">
        <v>221</v>
      </c>
      <c r="J95" s="51">
        <v>2</v>
      </c>
      <c r="K95" s="51">
        <v>2</v>
      </c>
      <c r="L95" s="52">
        <f t="shared" si="24"/>
        <v>24</v>
      </c>
      <c r="M95" s="61" t="str">
        <f t="shared" si="21"/>
        <v>Medium</v>
      </c>
      <c r="N95" s="63" t="s">
        <v>315</v>
      </c>
      <c r="O95" s="51">
        <v>1</v>
      </c>
      <c r="P95" s="51">
        <v>1</v>
      </c>
      <c r="Q95" s="53">
        <f t="shared" si="19"/>
        <v>6</v>
      </c>
      <c r="R95" s="62" t="str">
        <f t="shared" si="23"/>
        <v>Low</v>
      </c>
      <c r="S95" s="81" t="s">
        <v>382</v>
      </c>
      <c r="T95" s="57" t="s">
        <v>223</v>
      </c>
      <c r="U95" s="55" t="s">
        <v>318</v>
      </c>
      <c r="V95" s="55"/>
      <c r="W95" s="55"/>
      <c r="X95" s="55" t="s">
        <v>293</v>
      </c>
      <c r="Y95" s="55"/>
      <c r="Z95" s="56" t="str">
        <f t="shared" si="17"/>
        <v>Yes</v>
      </c>
      <c r="AA95" s="56" t="str">
        <f t="shared" si="20"/>
        <v>30 May,2023</v>
      </c>
    </row>
    <row r="96" spans="1:27" s="22" customFormat="1" ht="124.2" x14ac:dyDescent="0.3">
      <c r="A96" s="42"/>
      <c r="B96" s="42" t="s">
        <v>96</v>
      </c>
      <c r="C96" s="40" t="s">
        <v>157</v>
      </c>
      <c r="D96" s="40">
        <v>2</v>
      </c>
      <c r="E96" s="40">
        <v>2</v>
      </c>
      <c r="F96" s="40">
        <v>2</v>
      </c>
      <c r="G96" s="45">
        <v>6</v>
      </c>
      <c r="H96" s="44" t="s">
        <v>216</v>
      </c>
      <c r="I96" s="44" t="s">
        <v>217</v>
      </c>
      <c r="J96" s="51">
        <v>2</v>
      </c>
      <c r="K96" s="51">
        <v>2</v>
      </c>
      <c r="L96" s="52">
        <f t="shared" ref="L96:L109" si="25">K96*J96*G96</f>
        <v>24</v>
      </c>
      <c r="M96" s="61" t="str">
        <f t="shared" si="21"/>
        <v>Medium</v>
      </c>
      <c r="N96" s="83" t="s">
        <v>386</v>
      </c>
      <c r="O96" s="51">
        <v>1</v>
      </c>
      <c r="P96" s="51">
        <v>1</v>
      </c>
      <c r="Q96" s="53">
        <f t="shared" si="19"/>
        <v>6</v>
      </c>
      <c r="R96" s="62" t="str">
        <f t="shared" si="23"/>
        <v>Low</v>
      </c>
      <c r="S96" s="19" t="s">
        <v>387</v>
      </c>
      <c r="T96" s="57" t="s">
        <v>222</v>
      </c>
      <c r="U96" s="55" t="s">
        <v>318</v>
      </c>
      <c r="V96" s="55"/>
      <c r="W96" s="55"/>
      <c r="X96" s="55" t="s">
        <v>297</v>
      </c>
      <c r="Y96" s="55"/>
      <c r="Z96" s="56" t="str">
        <f t="shared" si="17"/>
        <v>Yes</v>
      </c>
      <c r="AA96" s="56" t="str">
        <f t="shared" si="20"/>
        <v>30 May,2023</v>
      </c>
    </row>
    <row r="97" spans="1:62" s="22" customFormat="1" ht="55.2" x14ac:dyDescent="0.3">
      <c r="A97" s="42"/>
      <c r="B97" s="42" t="s">
        <v>96</v>
      </c>
      <c r="C97" s="40" t="s">
        <v>157</v>
      </c>
      <c r="D97" s="40">
        <v>3</v>
      </c>
      <c r="E97" s="40">
        <v>3</v>
      </c>
      <c r="F97" s="40">
        <v>3</v>
      </c>
      <c r="G97" s="45">
        <v>9</v>
      </c>
      <c r="H97" s="44" t="s">
        <v>218</v>
      </c>
      <c r="I97" s="44" t="s">
        <v>219</v>
      </c>
      <c r="J97" s="51">
        <v>2</v>
      </c>
      <c r="K97" s="51">
        <v>2</v>
      </c>
      <c r="L97" s="52">
        <f t="shared" si="25"/>
        <v>36</v>
      </c>
      <c r="M97" s="61" t="str">
        <f t="shared" si="21"/>
        <v>Medium</v>
      </c>
      <c r="N97" s="83" t="s">
        <v>299</v>
      </c>
      <c r="O97" s="51">
        <v>1</v>
      </c>
      <c r="P97" s="51">
        <v>1</v>
      </c>
      <c r="Q97" s="53">
        <f t="shared" si="19"/>
        <v>9</v>
      </c>
      <c r="R97" s="62" t="str">
        <f t="shared" si="23"/>
        <v>Low</v>
      </c>
      <c r="S97" s="87" t="s">
        <v>388</v>
      </c>
      <c r="T97" s="57" t="s">
        <v>389</v>
      </c>
      <c r="U97" s="55" t="s">
        <v>318</v>
      </c>
      <c r="V97" s="55"/>
      <c r="W97" s="55"/>
      <c r="X97" s="55" t="s">
        <v>297</v>
      </c>
      <c r="Y97" s="55"/>
      <c r="Z97" s="56" t="str">
        <f t="shared" si="17"/>
        <v>Yes</v>
      </c>
      <c r="AA97" s="56" t="str">
        <f t="shared" si="20"/>
        <v>30 May,2023</v>
      </c>
    </row>
    <row r="98" spans="1:62" s="22" customFormat="1" ht="41.4" x14ac:dyDescent="0.3">
      <c r="A98" s="42"/>
      <c r="B98" s="42" t="s">
        <v>96</v>
      </c>
      <c r="C98" s="40" t="s">
        <v>157</v>
      </c>
      <c r="D98" s="40">
        <v>3</v>
      </c>
      <c r="E98" s="40">
        <v>3</v>
      </c>
      <c r="F98" s="40">
        <v>3</v>
      </c>
      <c r="G98" s="45">
        <v>9</v>
      </c>
      <c r="H98" s="44" t="s">
        <v>220</v>
      </c>
      <c r="I98" s="44" t="s">
        <v>221</v>
      </c>
      <c r="J98" s="51">
        <v>2</v>
      </c>
      <c r="K98" s="51">
        <v>2</v>
      </c>
      <c r="L98" s="52">
        <f t="shared" si="25"/>
        <v>36</v>
      </c>
      <c r="M98" s="61" t="str">
        <f t="shared" si="21"/>
        <v>Medium</v>
      </c>
      <c r="N98" s="63" t="s">
        <v>315</v>
      </c>
      <c r="O98" s="51">
        <v>1</v>
      </c>
      <c r="P98" s="51">
        <v>1</v>
      </c>
      <c r="Q98" s="53">
        <f t="shared" si="19"/>
        <v>9</v>
      </c>
      <c r="R98" s="62" t="str">
        <f t="shared" si="23"/>
        <v>Low</v>
      </c>
      <c r="S98" s="81" t="s">
        <v>382</v>
      </c>
      <c r="T98" s="57" t="s">
        <v>223</v>
      </c>
      <c r="U98" s="55" t="s">
        <v>318</v>
      </c>
      <c r="V98" s="55"/>
      <c r="W98" s="55"/>
      <c r="X98" s="55" t="s">
        <v>297</v>
      </c>
      <c r="Y98" s="55"/>
      <c r="Z98" s="56" t="str">
        <f t="shared" si="17"/>
        <v>Yes</v>
      </c>
      <c r="AA98" s="56" t="str">
        <f t="shared" si="20"/>
        <v>30 May,2023</v>
      </c>
    </row>
    <row r="99" spans="1:62" s="22" customFormat="1" ht="82.8" x14ac:dyDescent="0.3">
      <c r="A99" s="42"/>
      <c r="B99" s="50" t="s">
        <v>85</v>
      </c>
      <c r="C99" s="40" t="s">
        <v>147</v>
      </c>
      <c r="D99" s="40">
        <v>3</v>
      </c>
      <c r="E99" s="40">
        <v>3</v>
      </c>
      <c r="F99" s="40">
        <v>3</v>
      </c>
      <c r="G99" s="45">
        <v>9</v>
      </c>
      <c r="H99" s="42" t="s">
        <v>42</v>
      </c>
      <c r="I99" s="43" t="s">
        <v>204</v>
      </c>
      <c r="J99" s="51">
        <v>2</v>
      </c>
      <c r="K99" s="51">
        <v>2</v>
      </c>
      <c r="L99" s="52">
        <f t="shared" si="25"/>
        <v>36</v>
      </c>
      <c r="M99" s="61" t="str">
        <f t="shared" si="21"/>
        <v>Medium</v>
      </c>
      <c r="N99" s="84" t="s">
        <v>385</v>
      </c>
      <c r="O99" s="51">
        <v>1</v>
      </c>
      <c r="P99" s="51">
        <v>1</v>
      </c>
      <c r="Q99" s="53">
        <f t="shared" ref="Q99:Q131" si="26">O99*P99*G99</f>
        <v>9</v>
      </c>
      <c r="R99" s="62" t="str">
        <f t="shared" si="23"/>
        <v>Low</v>
      </c>
      <c r="S99" s="19" t="s">
        <v>384</v>
      </c>
      <c r="T99" s="57" t="s">
        <v>213</v>
      </c>
      <c r="U99" s="55" t="s">
        <v>318</v>
      </c>
      <c r="V99" s="55"/>
      <c r="W99" s="55"/>
      <c r="X99" s="55" t="s">
        <v>294</v>
      </c>
      <c r="Y99" s="55"/>
      <c r="Z99" s="56" t="str">
        <f t="shared" si="17"/>
        <v>Yes</v>
      </c>
      <c r="AA99" s="56" t="str">
        <f t="shared" ref="AA99:AA132" si="27">IF(Z99="Yes","30 May,2023",IF(Z99="No","30 Aug,2022"))</f>
        <v>30 May,2023</v>
      </c>
    </row>
    <row r="100" spans="1:62" s="22" customFormat="1" ht="82.8" x14ac:dyDescent="0.3">
      <c r="A100" s="42"/>
      <c r="B100" s="50" t="s">
        <v>84</v>
      </c>
      <c r="C100" s="40" t="s">
        <v>146</v>
      </c>
      <c r="D100" s="40">
        <v>3</v>
      </c>
      <c r="E100" s="40">
        <v>3</v>
      </c>
      <c r="F100" s="40">
        <v>3</v>
      </c>
      <c r="G100" s="45">
        <v>9</v>
      </c>
      <c r="H100" s="42" t="s">
        <v>42</v>
      </c>
      <c r="I100" s="43" t="s">
        <v>204</v>
      </c>
      <c r="J100" s="51">
        <v>2</v>
      </c>
      <c r="K100" s="51">
        <v>2</v>
      </c>
      <c r="L100" s="52">
        <f t="shared" si="25"/>
        <v>36</v>
      </c>
      <c r="M100" s="61" t="str">
        <f t="shared" si="21"/>
        <v>Medium</v>
      </c>
      <c r="N100" s="84" t="s">
        <v>385</v>
      </c>
      <c r="O100" s="51">
        <v>1</v>
      </c>
      <c r="P100" s="51">
        <v>1</v>
      </c>
      <c r="Q100" s="53">
        <f t="shared" si="26"/>
        <v>9</v>
      </c>
      <c r="R100" s="62" t="str">
        <f t="shared" si="23"/>
        <v>Low</v>
      </c>
      <c r="S100" s="19" t="s">
        <v>384</v>
      </c>
      <c r="T100" s="57" t="s">
        <v>213</v>
      </c>
      <c r="U100" s="55" t="s">
        <v>318</v>
      </c>
      <c r="V100" s="55"/>
      <c r="W100" s="55"/>
      <c r="X100" s="55" t="s">
        <v>294</v>
      </c>
      <c r="Y100" s="55"/>
      <c r="Z100" s="56" t="str">
        <f t="shared" si="17"/>
        <v>Yes</v>
      </c>
      <c r="AA100" s="56" t="str">
        <f t="shared" si="27"/>
        <v>30 May,2023</v>
      </c>
    </row>
    <row r="101" spans="1:62" s="22" customFormat="1" ht="124.2" x14ac:dyDescent="0.3">
      <c r="A101" s="42"/>
      <c r="B101" s="50" t="s">
        <v>84</v>
      </c>
      <c r="C101" s="40" t="s">
        <v>146</v>
      </c>
      <c r="D101" s="40">
        <v>3</v>
      </c>
      <c r="E101" s="40">
        <v>3</v>
      </c>
      <c r="F101" s="40">
        <v>3</v>
      </c>
      <c r="G101" s="45">
        <v>9</v>
      </c>
      <c r="H101" s="44" t="s">
        <v>216</v>
      </c>
      <c r="I101" s="44" t="s">
        <v>217</v>
      </c>
      <c r="J101" s="51">
        <v>2</v>
      </c>
      <c r="K101" s="51">
        <v>2</v>
      </c>
      <c r="L101" s="52">
        <f t="shared" si="25"/>
        <v>36</v>
      </c>
      <c r="M101" s="61" t="str">
        <f t="shared" si="21"/>
        <v>Medium</v>
      </c>
      <c r="N101" s="83" t="s">
        <v>386</v>
      </c>
      <c r="O101" s="51">
        <v>1</v>
      </c>
      <c r="P101" s="51">
        <v>1</v>
      </c>
      <c r="Q101" s="53">
        <f t="shared" si="26"/>
        <v>9</v>
      </c>
      <c r="R101" s="62" t="str">
        <f t="shared" si="23"/>
        <v>Low</v>
      </c>
      <c r="S101" s="19" t="s">
        <v>387</v>
      </c>
      <c r="T101" s="57" t="s">
        <v>222</v>
      </c>
      <c r="U101" s="55" t="s">
        <v>318</v>
      </c>
      <c r="V101" s="55"/>
      <c r="W101" s="55"/>
      <c r="X101" s="55" t="s">
        <v>294</v>
      </c>
      <c r="Y101" s="55"/>
      <c r="Z101" s="56" t="str">
        <f t="shared" si="17"/>
        <v>Yes</v>
      </c>
      <c r="AA101" s="56" t="str">
        <f t="shared" si="27"/>
        <v>30 May,2023</v>
      </c>
    </row>
    <row r="102" spans="1:62" s="26" customFormat="1" ht="55.2" x14ac:dyDescent="0.3">
      <c r="A102" s="42"/>
      <c r="B102" s="50" t="s">
        <v>84</v>
      </c>
      <c r="C102" s="40" t="s">
        <v>146</v>
      </c>
      <c r="D102" s="40">
        <v>3</v>
      </c>
      <c r="E102" s="40">
        <v>3</v>
      </c>
      <c r="F102" s="40">
        <v>3</v>
      </c>
      <c r="G102" s="45">
        <v>9</v>
      </c>
      <c r="H102" s="44" t="s">
        <v>218</v>
      </c>
      <c r="I102" s="44" t="s">
        <v>219</v>
      </c>
      <c r="J102" s="51">
        <v>2</v>
      </c>
      <c r="K102" s="51">
        <v>2</v>
      </c>
      <c r="L102" s="52">
        <f t="shared" si="25"/>
        <v>36</v>
      </c>
      <c r="M102" s="61" t="str">
        <f t="shared" si="21"/>
        <v>Medium</v>
      </c>
      <c r="N102" s="83" t="s">
        <v>299</v>
      </c>
      <c r="O102" s="51">
        <v>1</v>
      </c>
      <c r="P102" s="51">
        <v>1</v>
      </c>
      <c r="Q102" s="53">
        <f t="shared" si="26"/>
        <v>9</v>
      </c>
      <c r="R102" s="62" t="str">
        <f t="shared" si="23"/>
        <v>Low</v>
      </c>
      <c r="S102" s="87" t="s">
        <v>388</v>
      </c>
      <c r="T102" s="57" t="s">
        <v>389</v>
      </c>
      <c r="U102" s="55" t="s">
        <v>318</v>
      </c>
      <c r="V102" s="55"/>
      <c r="W102" s="55"/>
      <c r="X102" s="55" t="s">
        <v>294</v>
      </c>
      <c r="Y102" s="55"/>
      <c r="Z102" s="56" t="str">
        <f t="shared" si="17"/>
        <v>Yes</v>
      </c>
      <c r="AA102" s="56" t="str">
        <f t="shared" si="27"/>
        <v>30 May,2023</v>
      </c>
    </row>
    <row r="103" spans="1:62" s="26" customFormat="1" ht="41.4" x14ac:dyDescent="0.3">
      <c r="A103" s="42"/>
      <c r="B103" s="50" t="s">
        <v>84</v>
      </c>
      <c r="C103" s="40" t="s">
        <v>146</v>
      </c>
      <c r="D103" s="40">
        <v>3</v>
      </c>
      <c r="E103" s="40">
        <v>3</v>
      </c>
      <c r="F103" s="40">
        <v>3</v>
      </c>
      <c r="G103" s="45">
        <v>9</v>
      </c>
      <c r="H103" s="44" t="s">
        <v>220</v>
      </c>
      <c r="I103" s="44" t="s">
        <v>221</v>
      </c>
      <c r="J103" s="51">
        <v>2</v>
      </c>
      <c r="K103" s="51">
        <v>2</v>
      </c>
      <c r="L103" s="52">
        <f t="shared" si="25"/>
        <v>36</v>
      </c>
      <c r="M103" s="61" t="str">
        <f t="shared" si="21"/>
        <v>Medium</v>
      </c>
      <c r="N103" s="63" t="s">
        <v>315</v>
      </c>
      <c r="O103" s="51">
        <v>1</v>
      </c>
      <c r="P103" s="51">
        <v>1</v>
      </c>
      <c r="Q103" s="53">
        <f t="shared" si="26"/>
        <v>9</v>
      </c>
      <c r="R103" s="62" t="str">
        <f t="shared" si="23"/>
        <v>Low</v>
      </c>
      <c r="S103" s="81" t="s">
        <v>382</v>
      </c>
      <c r="T103" s="57" t="s">
        <v>223</v>
      </c>
      <c r="U103" s="55" t="s">
        <v>318</v>
      </c>
      <c r="V103" s="55"/>
      <c r="W103" s="55"/>
      <c r="X103" s="55" t="s">
        <v>294</v>
      </c>
      <c r="Y103" s="55"/>
      <c r="Z103" s="56" t="str">
        <f t="shared" si="17"/>
        <v>Yes</v>
      </c>
      <c r="AA103" s="56" t="str">
        <f t="shared" si="27"/>
        <v>30 May,2023</v>
      </c>
    </row>
    <row r="104" spans="1:62" s="22" customFormat="1" ht="82.8" x14ac:dyDescent="0.3">
      <c r="A104" s="42"/>
      <c r="B104" s="50" t="s">
        <v>181</v>
      </c>
      <c r="C104" s="41" t="s">
        <v>199</v>
      </c>
      <c r="D104" s="40">
        <v>2</v>
      </c>
      <c r="E104" s="40">
        <v>2</v>
      </c>
      <c r="F104" s="40">
        <v>2</v>
      </c>
      <c r="G104" s="45">
        <v>6</v>
      </c>
      <c r="H104" s="44" t="s">
        <v>210</v>
      </c>
      <c r="I104" s="43" t="s">
        <v>204</v>
      </c>
      <c r="J104" s="51">
        <v>2</v>
      </c>
      <c r="K104" s="51">
        <v>2</v>
      </c>
      <c r="L104" s="52">
        <f t="shared" si="25"/>
        <v>24</v>
      </c>
      <c r="M104" s="61" t="str">
        <f t="shared" si="21"/>
        <v>Medium</v>
      </c>
      <c r="N104" s="84" t="s">
        <v>385</v>
      </c>
      <c r="O104" s="51">
        <v>1</v>
      </c>
      <c r="P104" s="51">
        <v>1</v>
      </c>
      <c r="Q104" s="53">
        <f t="shared" si="26"/>
        <v>6</v>
      </c>
      <c r="R104" s="62" t="str">
        <f t="shared" si="23"/>
        <v>Low</v>
      </c>
      <c r="S104" s="19" t="s">
        <v>384</v>
      </c>
      <c r="T104" s="57" t="s">
        <v>213</v>
      </c>
      <c r="U104" s="55" t="s">
        <v>318</v>
      </c>
      <c r="V104" s="55"/>
      <c r="W104" s="55"/>
      <c r="X104" s="55" t="s">
        <v>294</v>
      </c>
      <c r="Y104" s="55"/>
      <c r="Z104" s="56" t="str">
        <f t="shared" si="17"/>
        <v>Yes</v>
      </c>
      <c r="AA104" s="56" t="str">
        <f t="shared" si="27"/>
        <v>30 May,2023</v>
      </c>
    </row>
    <row r="105" spans="1:62" s="79" customFormat="1" ht="66" x14ac:dyDescent="0.3">
      <c r="A105" s="44"/>
      <c r="B105" s="44" t="s">
        <v>182</v>
      </c>
      <c r="C105" s="40" t="s">
        <v>200</v>
      </c>
      <c r="D105" s="40">
        <v>2</v>
      </c>
      <c r="E105" s="40">
        <v>2</v>
      </c>
      <c r="F105" s="40">
        <v>2</v>
      </c>
      <c r="G105" s="45">
        <v>9</v>
      </c>
      <c r="H105" s="44" t="s">
        <v>211</v>
      </c>
      <c r="I105" s="44" t="s">
        <v>416</v>
      </c>
      <c r="J105" s="51">
        <v>2</v>
      </c>
      <c r="K105" s="51">
        <v>3</v>
      </c>
      <c r="L105" s="51">
        <f t="shared" si="25"/>
        <v>54</v>
      </c>
      <c r="M105" s="60" t="str">
        <f t="shared" si="21"/>
        <v>High</v>
      </c>
      <c r="N105" s="83" t="s">
        <v>415</v>
      </c>
      <c r="O105" s="51">
        <v>1</v>
      </c>
      <c r="P105" s="51">
        <v>2</v>
      </c>
      <c r="Q105" s="51">
        <f t="shared" si="26"/>
        <v>18</v>
      </c>
      <c r="R105" s="62" t="str">
        <f t="shared" si="23"/>
        <v>Low</v>
      </c>
      <c r="S105" s="19" t="s">
        <v>417</v>
      </c>
      <c r="T105" s="80" t="s">
        <v>418</v>
      </c>
      <c r="U105" s="55" t="s">
        <v>318</v>
      </c>
      <c r="V105" s="55"/>
      <c r="W105" s="26"/>
      <c r="X105" s="26" t="s">
        <v>294</v>
      </c>
      <c r="Y105" s="26"/>
      <c r="Z105" s="56" t="str">
        <f t="shared" si="17"/>
        <v>Yes</v>
      </c>
      <c r="AA105" s="26" t="str">
        <f t="shared" si="27"/>
        <v>30 May,2023</v>
      </c>
      <c r="AB105" s="26"/>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row>
    <row r="106" spans="1:62" s="22" customFormat="1" ht="82.8" x14ac:dyDescent="0.3">
      <c r="A106" s="42"/>
      <c r="B106" s="50" t="s">
        <v>184</v>
      </c>
      <c r="C106" s="48" t="s">
        <v>201</v>
      </c>
      <c r="D106" s="40">
        <v>2</v>
      </c>
      <c r="E106" s="40">
        <v>2</v>
      </c>
      <c r="F106" s="40">
        <v>2</v>
      </c>
      <c r="G106" s="45">
        <v>6</v>
      </c>
      <c r="H106" s="44" t="s">
        <v>210</v>
      </c>
      <c r="I106" s="43" t="s">
        <v>204</v>
      </c>
      <c r="J106" s="51">
        <v>2</v>
      </c>
      <c r="K106" s="51">
        <v>2</v>
      </c>
      <c r="L106" s="51">
        <f t="shared" si="25"/>
        <v>24</v>
      </c>
      <c r="M106" s="61" t="str">
        <f t="shared" si="21"/>
        <v>Medium</v>
      </c>
      <c r="N106" s="84" t="s">
        <v>385</v>
      </c>
      <c r="O106" s="51">
        <v>1</v>
      </c>
      <c r="P106" s="51">
        <v>1</v>
      </c>
      <c r="Q106" s="53">
        <f t="shared" si="26"/>
        <v>6</v>
      </c>
      <c r="R106" s="62" t="str">
        <f t="shared" si="23"/>
        <v>Low</v>
      </c>
      <c r="S106" s="19" t="s">
        <v>384</v>
      </c>
      <c r="T106" s="57" t="s">
        <v>213</v>
      </c>
      <c r="U106" s="55" t="s">
        <v>318</v>
      </c>
      <c r="V106" s="55"/>
      <c r="W106" s="55"/>
      <c r="X106" s="55" t="s">
        <v>297</v>
      </c>
      <c r="Y106" s="55"/>
      <c r="Z106" s="56" t="str">
        <f t="shared" si="17"/>
        <v>Yes</v>
      </c>
      <c r="AA106" s="56" t="str">
        <f t="shared" si="27"/>
        <v>30 May,2023</v>
      </c>
    </row>
    <row r="107" spans="1:62" s="22" customFormat="1" ht="124.2" x14ac:dyDescent="0.3">
      <c r="A107" s="42"/>
      <c r="B107" s="50" t="s">
        <v>184</v>
      </c>
      <c r="C107" s="48" t="s">
        <v>201</v>
      </c>
      <c r="D107" s="40">
        <v>2</v>
      </c>
      <c r="E107" s="40">
        <v>2</v>
      </c>
      <c r="F107" s="40">
        <v>2</v>
      </c>
      <c r="G107" s="45">
        <v>6</v>
      </c>
      <c r="H107" s="44" t="s">
        <v>216</v>
      </c>
      <c r="I107" s="44" t="s">
        <v>217</v>
      </c>
      <c r="J107" s="51">
        <v>2</v>
      </c>
      <c r="K107" s="51">
        <v>2</v>
      </c>
      <c r="L107" s="51">
        <f t="shared" si="25"/>
        <v>24</v>
      </c>
      <c r="M107" s="61" t="str">
        <f t="shared" si="21"/>
        <v>Medium</v>
      </c>
      <c r="N107" s="83" t="s">
        <v>386</v>
      </c>
      <c r="O107" s="51">
        <v>1</v>
      </c>
      <c r="P107" s="51">
        <v>1</v>
      </c>
      <c r="Q107" s="53">
        <f t="shared" si="26"/>
        <v>6</v>
      </c>
      <c r="R107" s="62" t="str">
        <f t="shared" si="23"/>
        <v>Low</v>
      </c>
      <c r="S107" s="19" t="s">
        <v>387</v>
      </c>
      <c r="T107" s="57" t="s">
        <v>222</v>
      </c>
      <c r="U107" s="55" t="s">
        <v>318</v>
      </c>
      <c r="V107" s="55"/>
      <c r="W107" s="55"/>
      <c r="X107" s="55" t="s">
        <v>297</v>
      </c>
      <c r="Y107" s="55"/>
      <c r="Z107" s="56" t="str">
        <f t="shared" si="17"/>
        <v>Yes</v>
      </c>
      <c r="AA107" s="56" t="str">
        <f t="shared" si="27"/>
        <v>30 May,2023</v>
      </c>
    </row>
    <row r="108" spans="1:62" s="22" customFormat="1" ht="55.2" x14ac:dyDescent="0.3">
      <c r="A108" s="42"/>
      <c r="B108" s="50" t="s">
        <v>184</v>
      </c>
      <c r="C108" s="48" t="s">
        <v>201</v>
      </c>
      <c r="D108" s="40">
        <v>2</v>
      </c>
      <c r="E108" s="40">
        <v>2</v>
      </c>
      <c r="F108" s="40">
        <v>2</v>
      </c>
      <c r="G108" s="45">
        <v>6</v>
      </c>
      <c r="H108" s="44" t="s">
        <v>218</v>
      </c>
      <c r="I108" s="44" t="s">
        <v>219</v>
      </c>
      <c r="J108" s="51">
        <v>2</v>
      </c>
      <c r="K108" s="51">
        <v>2</v>
      </c>
      <c r="L108" s="51">
        <f t="shared" si="25"/>
        <v>24</v>
      </c>
      <c r="M108" s="61" t="str">
        <f t="shared" si="21"/>
        <v>Medium</v>
      </c>
      <c r="N108" s="83" t="s">
        <v>299</v>
      </c>
      <c r="O108" s="51">
        <v>1</v>
      </c>
      <c r="P108" s="51">
        <v>1</v>
      </c>
      <c r="Q108" s="53">
        <f t="shared" si="26"/>
        <v>6</v>
      </c>
      <c r="R108" s="62" t="str">
        <f t="shared" si="23"/>
        <v>Low</v>
      </c>
      <c r="S108" s="87" t="s">
        <v>388</v>
      </c>
      <c r="T108" s="57" t="s">
        <v>389</v>
      </c>
      <c r="U108" s="55" t="s">
        <v>318</v>
      </c>
      <c r="V108" s="55"/>
      <c r="W108" s="55"/>
      <c r="X108" s="55" t="s">
        <v>297</v>
      </c>
      <c r="Y108" s="55"/>
      <c r="Z108" s="56" t="str">
        <f t="shared" si="17"/>
        <v>Yes</v>
      </c>
      <c r="AA108" s="56" t="str">
        <f t="shared" si="27"/>
        <v>30 May,2023</v>
      </c>
    </row>
    <row r="109" spans="1:62" s="26" customFormat="1" ht="41.4" x14ac:dyDescent="0.3">
      <c r="A109" s="42"/>
      <c r="B109" s="50" t="s">
        <v>184</v>
      </c>
      <c r="C109" s="48" t="s">
        <v>201</v>
      </c>
      <c r="D109" s="40">
        <v>2</v>
      </c>
      <c r="E109" s="40">
        <v>2</v>
      </c>
      <c r="F109" s="40">
        <v>2</v>
      </c>
      <c r="G109" s="45">
        <v>6</v>
      </c>
      <c r="H109" s="44" t="s">
        <v>220</v>
      </c>
      <c r="I109" s="44" t="s">
        <v>221</v>
      </c>
      <c r="J109" s="51">
        <v>2</v>
      </c>
      <c r="K109" s="51">
        <v>2</v>
      </c>
      <c r="L109" s="51">
        <f t="shared" si="25"/>
        <v>24</v>
      </c>
      <c r="M109" s="61" t="str">
        <f t="shared" si="21"/>
        <v>Medium</v>
      </c>
      <c r="N109" s="63" t="s">
        <v>315</v>
      </c>
      <c r="O109" s="51">
        <v>1</v>
      </c>
      <c r="P109" s="51">
        <v>1</v>
      </c>
      <c r="Q109" s="53">
        <f t="shared" si="26"/>
        <v>6</v>
      </c>
      <c r="R109" s="62" t="str">
        <f t="shared" si="23"/>
        <v>Low</v>
      </c>
      <c r="S109" s="81" t="s">
        <v>382</v>
      </c>
      <c r="T109" s="57" t="s">
        <v>223</v>
      </c>
      <c r="U109" s="55" t="s">
        <v>318</v>
      </c>
      <c r="V109" s="55"/>
      <c r="W109" s="55"/>
      <c r="X109" s="55" t="s">
        <v>297</v>
      </c>
      <c r="Y109" s="55"/>
      <c r="Z109" s="56" t="str">
        <f t="shared" si="17"/>
        <v>Yes</v>
      </c>
      <c r="AA109" s="56" t="str">
        <f t="shared" si="27"/>
        <v>30 May,2023</v>
      </c>
    </row>
    <row r="110" spans="1:62" s="26" customFormat="1" ht="124.2" x14ac:dyDescent="0.3">
      <c r="A110" s="42"/>
      <c r="B110" s="50" t="s">
        <v>185</v>
      </c>
      <c r="C110" s="48" t="s">
        <v>202</v>
      </c>
      <c r="D110" s="40">
        <v>2</v>
      </c>
      <c r="E110" s="40">
        <v>2</v>
      </c>
      <c r="F110" s="40">
        <v>2</v>
      </c>
      <c r="G110" s="45">
        <v>6</v>
      </c>
      <c r="H110" s="44" t="s">
        <v>216</v>
      </c>
      <c r="I110" s="44" t="s">
        <v>217</v>
      </c>
      <c r="J110" s="51">
        <v>2</v>
      </c>
      <c r="K110" s="51">
        <v>2</v>
      </c>
      <c r="L110" s="51">
        <f t="shared" ref="L110:L120" si="28">K110*J110*G110</f>
        <v>24</v>
      </c>
      <c r="M110" s="61" t="str">
        <f t="shared" si="21"/>
        <v>Medium</v>
      </c>
      <c r="N110" s="83" t="s">
        <v>386</v>
      </c>
      <c r="O110" s="51">
        <v>1</v>
      </c>
      <c r="P110" s="51">
        <v>1</v>
      </c>
      <c r="Q110" s="53">
        <f t="shared" si="26"/>
        <v>6</v>
      </c>
      <c r="R110" s="62" t="str">
        <f t="shared" si="23"/>
        <v>Low</v>
      </c>
      <c r="S110" s="19" t="s">
        <v>387</v>
      </c>
      <c r="T110" s="57" t="s">
        <v>222</v>
      </c>
      <c r="U110" s="55" t="s">
        <v>318</v>
      </c>
      <c r="V110" s="55"/>
      <c r="W110" s="55"/>
      <c r="X110" s="55" t="s">
        <v>297</v>
      </c>
      <c r="Y110" s="55"/>
      <c r="Z110" s="56" t="str">
        <f t="shared" si="17"/>
        <v>Yes</v>
      </c>
      <c r="AA110" s="56" t="str">
        <f t="shared" si="27"/>
        <v>30 May,2023</v>
      </c>
    </row>
    <row r="111" spans="1:62" s="26" customFormat="1" ht="55.2" x14ac:dyDescent="0.3">
      <c r="A111" s="42"/>
      <c r="B111" s="50" t="s">
        <v>185</v>
      </c>
      <c r="C111" s="48" t="s">
        <v>202</v>
      </c>
      <c r="D111" s="40">
        <v>2</v>
      </c>
      <c r="E111" s="40">
        <v>2</v>
      </c>
      <c r="F111" s="40">
        <v>2</v>
      </c>
      <c r="G111" s="45">
        <v>6</v>
      </c>
      <c r="H111" s="44" t="s">
        <v>218</v>
      </c>
      <c r="I111" s="44" t="s">
        <v>219</v>
      </c>
      <c r="J111" s="51">
        <v>2</v>
      </c>
      <c r="K111" s="51">
        <v>2</v>
      </c>
      <c r="L111" s="51">
        <f t="shared" si="28"/>
        <v>24</v>
      </c>
      <c r="M111" s="61" t="str">
        <f t="shared" si="21"/>
        <v>Medium</v>
      </c>
      <c r="N111" s="83" t="s">
        <v>299</v>
      </c>
      <c r="O111" s="51">
        <v>1</v>
      </c>
      <c r="P111" s="51">
        <v>1</v>
      </c>
      <c r="Q111" s="53">
        <f t="shared" si="26"/>
        <v>6</v>
      </c>
      <c r="R111" s="62" t="str">
        <f t="shared" si="23"/>
        <v>Low</v>
      </c>
      <c r="S111" s="87" t="s">
        <v>388</v>
      </c>
      <c r="T111" s="57" t="s">
        <v>389</v>
      </c>
      <c r="U111" s="55" t="s">
        <v>318</v>
      </c>
      <c r="V111" s="55"/>
      <c r="W111" s="55"/>
      <c r="X111" s="55" t="s">
        <v>297</v>
      </c>
      <c r="Y111" s="55"/>
      <c r="Z111" s="56" t="str">
        <f t="shared" si="17"/>
        <v>Yes</v>
      </c>
      <c r="AA111" s="56" t="str">
        <f t="shared" si="27"/>
        <v>30 May,2023</v>
      </c>
    </row>
    <row r="112" spans="1:62" s="22" customFormat="1" ht="41.4" x14ac:dyDescent="0.3">
      <c r="A112" s="42"/>
      <c r="B112" s="50" t="s">
        <v>185</v>
      </c>
      <c r="C112" s="48" t="s">
        <v>202</v>
      </c>
      <c r="D112" s="40">
        <v>2</v>
      </c>
      <c r="E112" s="40">
        <v>2</v>
      </c>
      <c r="F112" s="40">
        <v>2</v>
      </c>
      <c r="G112" s="45">
        <v>6</v>
      </c>
      <c r="H112" s="44" t="s">
        <v>220</v>
      </c>
      <c r="I112" s="44" t="s">
        <v>221</v>
      </c>
      <c r="J112" s="51">
        <v>2</v>
      </c>
      <c r="K112" s="51">
        <v>2</v>
      </c>
      <c r="L112" s="51">
        <f t="shared" si="28"/>
        <v>24</v>
      </c>
      <c r="M112" s="61" t="str">
        <f t="shared" si="21"/>
        <v>Medium</v>
      </c>
      <c r="N112" s="63" t="s">
        <v>315</v>
      </c>
      <c r="O112" s="51">
        <v>1</v>
      </c>
      <c r="P112" s="51">
        <v>1</v>
      </c>
      <c r="Q112" s="53">
        <f t="shared" si="26"/>
        <v>6</v>
      </c>
      <c r="R112" s="62" t="str">
        <f t="shared" si="23"/>
        <v>Low</v>
      </c>
      <c r="S112" s="81" t="s">
        <v>382</v>
      </c>
      <c r="T112" s="57" t="s">
        <v>223</v>
      </c>
      <c r="U112" s="55" t="s">
        <v>318</v>
      </c>
      <c r="V112" s="55"/>
      <c r="W112" s="55"/>
      <c r="X112" s="55" t="s">
        <v>297</v>
      </c>
      <c r="Y112" s="55"/>
      <c r="Z112" s="56" t="str">
        <f t="shared" si="17"/>
        <v>Yes</v>
      </c>
      <c r="AA112" s="56" t="str">
        <f t="shared" si="27"/>
        <v>30 May,2023</v>
      </c>
    </row>
    <row r="113" spans="1:27" s="26" customFormat="1" ht="55.2" x14ac:dyDescent="0.3">
      <c r="A113" s="42"/>
      <c r="B113" s="43" t="s">
        <v>253</v>
      </c>
      <c r="C113" s="43" t="s">
        <v>254</v>
      </c>
      <c r="D113" s="40">
        <v>3</v>
      </c>
      <c r="E113" s="40">
        <v>3</v>
      </c>
      <c r="F113" s="40">
        <v>3</v>
      </c>
      <c r="G113" s="45">
        <v>9</v>
      </c>
      <c r="H113" s="54" t="s">
        <v>218</v>
      </c>
      <c r="I113" s="54" t="s">
        <v>219</v>
      </c>
      <c r="J113" s="51">
        <v>2</v>
      </c>
      <c r="K113" s="51">
        <v>2</v>
      </c>
      <c r="L113" s="51">
        <f t="shared" si="28"/>
        <v>36</v>
      </c>
      <c r="M113" s="61" t="str">
        <f t="shared" si="21"/>
        <v>Medium</v>
      </c>
      <c r="N113" s="83" t="s">
        <v>299</v>
      </c>
      <c r="O113" s="51">
        <v>1</v>
      </c>
      <c r="P113" s="51">
        <v>1</v>
      </c>
      <c r="Q113" s="53">
        <f t="shared" si="26"/>
        <v>9</v>
      </c>
      <c r="R113" s="62" t="str">
        <f t="shared" ref="R113:R148" si="29">IF(Q113&lt;=20,"Low",IF(Q113&lt;=40,"Medium",IF(Q113&lt;=81,"High")))</f>
        <v>Low</v>
      </c>
      <c r="S113" s="87" t="s">
        <v>388</v>
      </c>
      <c r="T113" s="57" t="s">
        <v>389</v>
      </c>
      <c r="U113" s="55" t="s">
        <v>318</v>
      </c>
      <c r="V113" s="55"/>
      <c r="W113" s="55"/>
      <c r="X113" s="56" t="s">
        <v>317</v>
      </c>
      <c r="Y113" s="56"/>
      <c r="Z113" s="56" t="str">
        <f t="shared" si="17"/>
        <v>Yes</v>
      </c>
      <c r="AA113" s="56" t="str">
        <f t="shared" si="27"/>
        <v>30 May,2023</v>
      </c>
    </row>
    <row r="114" spans="1:27" s="26" customFormat="1" ht="145.19999999999999" x14ac:dyDescent="0.3">
      <c r="A114" s="42"/>
      <c r="B114" s="43" t="s">
        <v>253</v>
      </c>
      <c r="C114" s="43" t="s">
        <v>254</v>
      </c>
      <c r="D114" s="40">
        <v>3</v>
      </c>
      <c r="E114" s="40">
        <v>3</v>
      </c>
      <c r="F114" s="40">
        <v>3</v>
      </c>
      <c r="G114" s="45">
        <v>9</v>
      </c>
      <c r="H114" s="54" t="s">
        <v>226</v>
      </c>
      <c r="I114" s="54" t="s">
        <v>215</v>
      </c>
      <c r="J114" s="51">
        <v>2</v>
      </c>
      <c r="K114" s="51">
        <v>2</v>
      </c>
      <c r="L114" s="51">
        <f t="shared" si="28"/>
        <v>36</v>
      </c>
      <c r="M114" s="61" t="str">
        <f t="shared" si="21"/>
        <v>Medium</v>
      </c>
      <c r="N114" s="63" t="s">
        <v>316</v>
      </c>
      <c r="O114" s="51">
        <v>1</v>
      </c>
      <c r="P114" s="51">
        <v>1</v>
      </c>
      <c r="Q114" s="53">
        <f t="shared" si="26"/>
        <v>9</v>
      </c>
      <c r="R114" s="62" t="str">
        <f t="shared" si="29"/>
        <v>Low</v>
      </c>
      <c r="S114" s="19" t="s">
        <v>394</v>
      </c>
      <c r="T114" s="80" t="s">
        <v>312</v>
      </c>
      <c r="U114" s="55" t="s">
        <v>318</v>
      </c>
      <c r="V114" s="55"/>
      <c r="W114" s="55"/>
      <c r="X114" s="56" t="s">
        <v>317</v>
      </c>
      <c r="Y114" s="56"/>
      <c r="Z114" s="56" t="str">
        <f t="shared" si="17"/>
        <v>Yes</v>
      </c>
      <c r="AA114" s="56" t="str">
        <f t="shared" si="27"/>
        <v>30 May,2023</v>
      </c>
    </row>
    <row r="115" spans="1:27" s="26" customFormat="1" ht="145.19999999999999" x14ac:dyDescent="0.3">
      <c r="A115" s="42"/>
      <c r="B115" s="43" t="s">
        <v>255</v>
      </c>
      <c r="C115" s="45" t="s">
        <v>256</v>
      </c>
      <c r="D115" s="40">
        <v>2</v>
      </c>
      <c r="E115" s="40">
        <v>2</v>
      </c>
      <c r="F115" s="40">
        <v>2</v>
      </c>
      <c r="G115" s="45">
        <v>6</v>
      </c>
      <c r="H115" s="54" t="s">
        <v>226</v>
      </c>
      <c r="I115" s="54" t="s">
        <v>215</v>
      </c>
      <c r="J115" s="51">
        <v>2</v>
      </c>
      <c r="K115" s="51">
        <v>2</v>
      </c>
      <c r="L115" s="51">
        <f t="shared" si="28"/>
        <v>24</v>
      </c>
      <c r="M115" s="61" t="str">
        <f t="shared" si="21"/>
        <v>Medium</v>
      </c>
      <c r="N115" s="63" t="s">
        <v>316</v>
      </c>
      <c r="O115" s="51">
        <v>1</v>
      </c>
      <c r="P115" s="51">
        <v>1</v>
      </c>
      <c r="Q115" s="53">
        <f t="shared" si="26"/>
        <v>6</v>
      </c>
      <c r="R115" s="62" t="str">
        <f t="shared" si="29"/>
        <v>Low</v>
      </c>
      <c r="S115" s="19" t="s">
        <v>394</v>
      </c>
      <c r="T115" s="80" t="s">
        <v>312</v>
      </c>
      <c r="U115" s="55" t="s">
        <v>318</v>
      </c>
      <c r="V115" s="55"/>
      <c r="W115" s="55"/>
      <c r="X115" s="56" t="s">
        <v>317</v>
      </c>
      <c r="Y115" s="56"/>
      <c r="Z115" s="56" t="str">
        <f t="shared" si="17"/>
        <v>Yes</v>
      </c>
      <c r="AA115" s="56" t="str">
        <f t="shared" si="27"/>
        <v>30 May,2023</v>
      </c>
    </row>
    <row r="116" spans="1:27" s="22" customFormat="1" ht="41.4" x14ac:dyDescent="0.3">
      <c r="A116" s="41"/>
      <c r="B116" s="50" t="s">
        <v>257</v>
      </c>
      <c r="C116" s="45" t="s">
        <v>258</v>
      </c>
      <c r="D116" s="40">
        <v>3</v>
      </c>
      <c r="E116" s="40">
        <v>3</v>
      </c>
      <c r="F116" s="40">
        <v>3</v>
      </c>
      <c r="G116" s="45">
        <v>9</v>
      </c>
      <c r="H116" s="44" t="s">
        <v>220</v>
      </c>
      <c r="I116" s="54" t="s">
        <v>221</v>
      </c>
      <c r="J116" s="51">
        <v>2</v>
      </c>
      <c r="K116" s="51">
        <v>2</v>
      </c>
      <c r="L116" s="51">
        <f t="shared" si="28"/>
        <v>36</v>
      </c>
      <c r="M116" s="61" t="str">
        <f t="shared" si="21"/>
        <v>Medium</v>
      </c>
      <c r="N116" s="63" t="s">
        <v>315</v>
      </c>
      <c r="O116" s="51">
        <v>1</v>
      </c>
      <c r="P116" s="51">
        <v>1</v>
      </c>
      <c r="Q116" s="53">
        <f t="shared" si="26"/>
        <v>9</v>
      </c>
      <c r="R116" s="62" t="str">
        <f t="shared" si="29"/>
        <v>Low</v>
      </c>
      <c r="S116" s="81" t="s">
        <v>382</v>
      </c>
      <c r="T116" s="57" t="s">
        <v>223</v>
      </c>
      <c r="U116" s="55" t="s">
        <v>318</v>
      </c>
      <c r="V116" s="55"/>
      <c r="W116" s="55"/>
      <c r="X116" s="56" t="s">
        <v>317</v>
      </c>
      <c r="Y116" s="56"/>
      <c r="Z116" s="56" t="str">
        <f t="shared" si="17"/>
        <v>Yes</v>
      </c>
      <c r="AA116" s="56" t="str">
        <f t="shared" si="27"/>
        <v>30 May,2023</v>
      </c>
    </row>
    <row r="117" spans="1:27" s="22" customFormat="1" ht="124.2" x14ac:dyDescent="0.3">
      <c r="A117" s="41"/>
      <c r="B117" s="50" t="s">
        <v>259</v>
      </c>
      <c r="C117" s="45" t="s">
        <v>260</v>
      </c>
      <c r="D117" s="40">
        <v>3</v>
      </c>
      <c r="E117" s="40">
        <v>3</v>
      </c>
      <c r="F117" s="40">
        <v>3</v>
      </c>
      <c r="G117" s="45">
        <v>9</v>
      </c>
      <c r="H117" s="54" t="s">
        <v>216</v>
      </c>
      <c r="I117" s="54" t="s">
        <v>217</v>
      </c>
      <c r="J117" s="51">
        <v>2</v>
      </c>
      <c r="K117" s="51">
        <v>2</v>
      </c>
      <c r="L117" s="51">
        <f t="shared" si="28"/>
        <v>36</v>
      </c>
      <c r="M117" s="61" t="str">
        <f t="shared" si="21"/>
        <v>Medium</v>
      </c>
      <c r="N117" s="83" t="s">
        <v>386</v>
      </c>
      <c r="O117" s="51">
        <v>1</v>
      </c>
      <c r="P117" s="51">
        <v>1</v>
      </c>
      <c r="Q117" s="53">
        <f t="shared" si="26"/>
        <v>9</v>
      </c>
      <c r="R117" s="62" t="str">
        <f t="shared" si="29"/>
        <v>Low</v>
      </c>
      <c r="S117" s="19" t="s">
        <v>387</v>
      </c>
      <c r="T117" s="57" t="s">
        <v>222</v>
      </c>
      <c r="U117" s="55" t="s">
        <v>318</v>
      </c>
      <c r="V117" s="55"/>
      <c r="W117" s="55"/>
      <c r="X117" s="56" t="s">
        <v>317</v>
      </c>
      <c r="Y117" s="56"/>
      <c r="Z117" s="56" t="str">
        <f t="shared" si="17"/>
        <v>Yes</v>
      </c>
      <c r="AA117" s="56" t="str">
        <f t="shared" si="27"/>
        <v>30 May,2023</v>
      </c>
    </row>
    <row r="118" spans="1:27" s="26" customFormat="1" ht="55.2" x14ac:dyDescent="0.3">
      <c r="A118" s="41"/>
      <c r="B118" s="50" t="s">
        <v>259</v>
      </c>
      <c r="C118" s="45" t="s">
        <v>260</v>
      </c>
      <c r="D118" s="40">
        <v>3</v>
      </c>
      <c r="E118" s="40">
        <v>3</v>
      </c>
      <c r="F118" s="40">
        <v>3</v>
      </c>
      <c r="G118" s="45">
        <v>9</v>
      </c>
      <c r="H118" s="54" t="s">
        <v>218</v>
      </c>
      <c r="I118" s="54" t="s">
        <v>219</v>
      </c>
      <c r="J118" s="51">
        <v>2</v>
      </c>
      <c r="K118" s="51">
        <v>2</v>
      </c>
      <c r="L118" s="51">
        <f t="shared" si="28"/>
        <v>36</v>
      </c>
      <c r="M118" s="61" t="str">
        <f t="shared" si="21"/>
        <v>Medium</v>
      </c>
      <c r="N118" s="83" t="s">
        <v>299</v>
      </c>
      <c r="O118" s="51">
        <v>1</v>
      </c>
      <c r="P118" s="51">
        <v>1</v>
      </c>
      <c r="Q118" s="53">
        <f t="shared" si="26"/>
        <v>9</v>
      </c>
      <c r="R118" s="62" t="str">
        <f t="shared" si="29"/>
        <v>Low</v>
      </c>
      <c r="S118" s="87" t="s">
        <v>388</v>
      </c>
      <c r="T118" s="57" t="s">
        <v>389</v>
      </c>
      <c r="U118" s="55" t="s">
        <v>318</v>
      </c>
      <c r="V118" s="55"/>
      <c r="W118" s="55"/>
      <c r="X118" s="56" t="s">
        <v>317</v>
      </c>
      <c r="Y118" s="56"/>
      <c r="Z118" s="56" t="str">
        <f t="shared" si="17"/>
        <v>Yes</v>
      </c>
      <c r="AA118" s="56" t="str">
        <f t="shared" si="27"/>
        <v>30 May,2023</v>
      </c>
    </row>
    <row r="119" spans="1:27" s="26" customFormat="1" ht="41.4" x14ac:dyDescent="0.3">
      <c r="A119" s="41"/>
      <c r="B119" s="50" t="s">
        <v>259</v>
      </c>
      <c r="C119" s="45" t="s">
        <v>260</v>
      </c>
      <c r="D119" s="40">
        <v>3</v>
      </c>
      <c r="E119" s="40">
        <v>3</v>
      </c>
      <c r="F119" s="40">
        <v>3</v>
      </c>
      <c r="G119" s="45">
        <v>9</v>
      </c>
      <c r="H119" s="54" t="s">
        <v>220</v>
      </c>
      <c r="I119" s="54" t="s">
        <v>221</v>
      </c>
      <c r="J119" s="51">
        <v>2</v>
      </c>
      <c r="K119" s="51">
        <v>2</v>
      </c>
      <c r="L119" s="51">
        <f t="shared" si="28"/>
        <v>36</v>
      </c>
      <c r="M119" s="61" t="str">
        <f t="shared" si="21"/>
        <v>Medium</v>
      </c>
      <c r="N119" s="63" t="s">
        <v>315</v>
      </c>
      <c r="O119" s="51">
        <v>1</v>
      </c>
      <c r="P119" s="51">
        <v>1</v>
      </c>
      <c r="Q119" s="53">
        <f t="shared" si="26"/>
        <v>9</v>
      </c>
      <c r="R119" s="62" t="str">
        <f t="shared" si="29"/>
        <v>Low</v>
      </c>
      <c r="S119" s="81" t="s">
        <v>382</v>
      </c>
      <c r="T119" s="57" t="s">
        <v>223</v>
      </c>
      <c r="U119" s="55" t="s">
        <v>318</v>
      </c>
      <c r="V119" s="55"/>
      <c r="W119" s="55"/>
      <c r="X119" s="56" t="s">
        <v>317</v>
      </c>
      <c r="Y119" s="56"/>
      <c r="Z119" s="56" t="str">
        <f t="shared" si="17"/>
        <v>Yes</v>
      </c>
      <c r="AA119" s="56" t="str">
        <f t="shared" si="27"/>
        <v>30 May,2023</v>
      </c>
    </row>
    <row r="120" spans="1:27" s="26" customFormat="1" ht="124.2" x14ac:dyDescent="0.3">
      <c r="A120" s="41"/>
      <c r="B120" s="50" t="s">
        <v>261</v>
      </c>
      <c r="C120" s="45" t="s">
        <v>262</v>
      </c>
      <c r="D120" s="40">
        <v>3</v>
      </c>
      <c r="E120" s="40">
        <v>3</v>
      </c>
      <c r="F120" s="40">
        <v>3</v>
      </c>
      <c r="G120" s="45">
        <v>9</v>
      </c>
      <c r="H120" s="44" t="s">
        <v>216</v>
      </c>
      <c r="I120" s="54" t="s">
        <v>217</v>
      </c>
      <c r="J120" s="51">
        <v>2</v>
      </c>
      <c r="K120" s="51">
        <v>2</v>
      </c>
      <c r="L120" s="51">
        <f t="shared" si="28"/>
        <v>36</v>
      </c>
      <c r="M120" s="61" t="str">
        <f t="shared" si="21"/>
        <v>Medium</v>
      </c>
      <c r="N120" s="83" t="s">
        <v>386</v>
      </c>
      <c r="O120" s="51">
        <v>1</v>
      </c>
      <c r="P120" s="51">
        <v>1</v>
      </c>
      <c r="Q120" s="53">
        <f t="shared" si="26"/>
        <v>9</v>
      </c>
      <c r="R120" s="62" t="str">
        <f t="shared" si="29"/>
        <v>Low</v>
      </c>
      <c r="S120" s="19" t="s">
        <v>387</v>
      </c>
      <c r="T120" s="57" t="s">
        <v>222</v>
      </c>
      <c r="U120" s="55" t="s">
        <v>318</v>
      </c>
      <c r="V120" s="55"/>
      <c r="W120" s="55"/>
      <c r="X120" s="56" t="s">
        <v>317</v>
      </c>
      <c r="Y120" s="56"/>
      <c r="Z120" s="56" t="str">
        <f t="shared" si="17"/>
        <v>Yes</v>
      </c>
      <c r="AA120" s="56" t="str">
        <f t="shared" si="27"/>
        <v>30 May,2023</v>
      </c>
    </row>
    <row r="121" spans="1:27" s="26" customFormat="1" ht="41.4" x14ac:dyDescent="0.3">
      <c r="A121" s="41"/>
      <c r="B121" s="50" t="s">
        <v>263</v>
      </c>
      <c r="C121" s="45" t="s">
        <v>264</v>
      </c>
      <c r="D121" s="40">
        <v>3</v>
      </c>
      <c r="E121" s="40">
        <v>3</v>
      </c>
      <c r="F121" s="40">
        <v>3</v>
      </c>
      <c r="G121" s="45">
        <v>9</v>
      </c>
      <c r="H121" s="44" t="s">
        <v>220</v>
      </c>
      <c r="I121" s="54" t="s">
        <v>221</v>
      </c>
      <c r="J121" s="51">
        <v>2</v>
      </c>
      <c r="K121" s="51">
        <v>2</v>
      </c>
      <c r="L121" s="51">
        <f t="shared" ref="L121:L143" si="30">K121*J121*G121</f>
        <v>36</v>
      </c>
      <c r="M121" s="61" t="str">
        <f t="shared" si="21"/>
        <v>Medium</v>
      </c>
      <c r="N121" s="63" t="s">
        <v>315</v>
      </c>
      <c r="O121" s="51">
        <v>1</v>
      </c>
      <c r="P121" s="51">
        <v>1</v>
      </c>
      <c r="Q121" s="53">
        <f t="shared" si="26"/>
        <v>9</v>
      </c>
      <c r="R121" s="62" t="str">
        <f t="shared" si="29"/>
        <v>Low</v>
      </c>
      <c r="S121" s="81" t="s">
        <v>382</v>
      </c>
      <c r="T121" s="57" t="s">
        <v>223</v>
      </c>
      <c r="U121" s="55" t="s">
        <v>318</v>
      </c>
      <c r="V121" s="55"/>
      <c r="W121" s="55"/>
      <c r="X121" s="56" t="s">
        <v>317</v>
      </c>
      <c r="Y121" s="56"/>
      <c r="Z121" s="56" t="str">
        <f t="shared" si="17"/>
        <v>Yes</v>
      </c>
      <c r="AA121" s="56" t="str">
        <f t="shared" si="27"/>
        <v>30 May,2023</v>
      </c>
    </row>
    <row r="122" spans="1:27" s="22" customFormat="1" ht="124.2" x14ac:dyDescent="0.3">
      <c r="A122" s="41"/>
      <c r="B122" s="43" t="s">
        <v>263</v>
      </c>
      <c r="C122" s="45" t="s">
        <v>265</v>
      </c>
      <c r="D122" s="40">
        <v>3</v>
      </c>
      <c r="E122" s="40">
        <v>3</v>
      </c>
      <c r="F122" s="40">
        <v>3</v>
      </c>
      <c r="G122" s="45">
        <v>9</v>
      </c>
      <c r="H122" s="54" t="s">
        <v>216</v>
      </c>
      <c r="I122" s="54" t="s">
        <v>217</v>
      </c>
      <c r="J122" s="51">
        <v>2</v>
      </c>
      <c r="K122" s="51">
        <v>2</v>
      </c>
      <c r="L122" s="51">
        <f t="shared" si="30"/>
        <v>36</v>
      </c>
      <c r="M122" s="61" t="str">
        <f t="shared" si="21"/>
        <v>Medium</v>
      </c>
      <c r="N122" s="83" t="s">
        <v>386</v>
      </c>
      <c r="O122" s="51">
        <v>1</v>
      </c>
      <c r="P122" s="51">
        <v>1</v>
      </c>
      <c r="Q122" s="53">
        <f t="shared" si="26"/>
        <v>9</v>
      </c>
      <c r="R122" s="62" t="str">
        <f t="shared" si="29"/>
        <v>Low</v>
      </c>
      <c r="S122" s="19" t="s">
        <v>387</v>
      </c>
      <c r="T122" s="57" t="s">
        <v>222</v>
      </c>
      <c r="U122" s="55" t="s">
        <v>318</v>
      </c>
      <c r="V122" s="55"/>
      <c r="W122" s="55"/>
      <c r="X122" s="56" t="s">
        <v>317</v>
      </c>
      <c r="Y122" s="56"/>
      <c r="Z122" s="56" t="str">
        <f t="shared" si="17"/>
        <v>Yes</v>
      </c>
      <c r="AA122" s="56" t="str">
        <f t="shared" si="27"/>
        <v>30 May,2023</v>
      </c>
    </row>
    <row r="123" spans="1:27" s="22" customFormat="1" ht="55.2" x14ac:dyDescent="0.3">
      <c r="A123" s="41"/>
      <c r="B123" s="43" t="s">
        <v>240</v>
      </c>
      <c r="C123" s="45" t="s">
        <v>266</v>
      </c>
      <c r="D123" s="40">
        <v>3</v>
      </c>
      <c r="E123" s="40">
        <v>3</v>
      </c>
      <c r="F123" s="40">
        <v>3</v>
      </c>
      <c r="G123" s="45">
        <v>9</v>
      </c>
      <c r="H123" s="54" t="s">
        <v>218</v>
      </c>
      <c r="I123" s="54" t="s">
        <v>219</v>
      </c>
      <c r="J123" s="51">
        <v>2</v>
      </c>
      <c r="K123" s="51">
        <v>2</v>
      </c>
      <c r="L123" s="51">
        <f t="shared" si="30"/>
        <v>36</v>
      </c>
      <c r="M123" s="61" t="str">
        <f t="shared" si="21"/>
        <v>Medium</v>
      </c>
      <c r="N123" s="83" t="s">
        <v>299</v>
      </c>
      <c r="O123" s="51">
        <v>1</v>
      </c>
      <c r="P123" s="51">
        <v>1</v>
      </c>
      <c r="Q123" s="53">
        <f t="shared" si="26"/>
        <v>9</v>
      </c>
      <c r="R123" s="62" t="str">
        <f t="shared" si="29"/>
        <v>Low</v>
      </c>
      <c r="S123" s="87" t="s">
        <v>388</v>
      </c>
      <c r="T123" s="57" t="s">
        <v>389</v>
      </c>
      <c r="U123" s="55" t="s">
        <v>318</v>
      </c>
      <c r="V123" s="55"/>
      <c r="W123" s="55"/>
      <c r="X123" s="56" t="s">
        <v>317</v>
      </c>
      <c r="Y123" s="56"/>
      <c r="Z123" s="56" t="str">
        <f t="shared" si="17"/>
        <v>Yes</v>
      </c>
      <c r="AA123" s="56" t="str">
        <f t="shared" si="27"/>
        <v>30 May,2023</v>
      </c>
    </row>
    <row r="124" spans="1:27" s="22" customFormat="1" ht="124.2" x14ac:dyDescent="0.3">
      <c r="A124" s="41"/>
      <c r="B124" s="43" t="s">
        <v>240</v>
      </c>
      <c r="C124" s="45" t="s">
        <v>266</v>
      </c>
      <c r="D124" s="40">
        <v>3</v>
      </c>
      <c r="E124" s="40">
        <v>3</v>
      </c>
      <c r="F124" s="40">
        <v>3</v>
      </c>
      <c r="G124" s="45">
        <v>9</v>
      </c>
      <c r="H124" s="54" t="s">
        <v>216</v>
      </c>
      <c r="I124" s="54" t="s">
        <v>217</v>
      </c>
      <c r="J124" s="51">
        <v>2</v>
      </c>
      <c r="K124" s="51">
        <v>2</v>
      </c>
      <c r="L124" s="51">
        <f t="shared" si="30"/>
        <v>36</v>
      </c>
      <c r="M124" s="61" t="str">
        <f t="shared" si="21"/>
        <v>Medium</v>
      </c>
      <c r="N124" s="83" t="s">
        <v>386</v>
      </c>
      <c r="O124" s="51">
        <v>1</v>
      </c>
      <c r="P124" s="51">
        <v>1</v>
      </c>
      <c r="Q124" s="53">
        <f t="shared" si="26"/>
        <v>9</v>
      </c>
      <c r="R124" s="62" t="str">
        <f t="shared" si="29"/>
        <v>Low</v>
      </c>
      <c r="S124" s="19" t="s">
        <v>387</v>
      </c>
      <c r="T124" s="57" t="s">
        <v>222</v>
      </c>
      <c r="U124" s="55" t="s">
        <v>318</v>
      </c>
      <c r="V124" s="55"/>
      <c r="W124" s="55"/>
      <c r="X124" s="56" t="s">
        <v>317</v>
      </c>
      <c r="Y124" s="56"/>
      <c r="Z124" s="56" t="str">
        <f t="shared" si="17"/>
        <v>Yes</v>
      </c>
      <c r="AA124" s="56" t="str">
        <f t="shared" si="27"/>
        <v>30 May,2023</v>
      </c>
    </row>
    <row r="125" spans="1:27" s="22" customFormat="1" ht="55.2" x14ac:dyDescent="0.3">
      <c r="A125" s="41"/>
      <c r="B125" s="43" t="s">
        <v>240</v>
      </c>
      <c r="C125" s="45" t="s">
        <v>266</v>
      </c>
      <c r="D125" s="40">
        <v>3</v>
      </c>
      <c r="E125" s="40">
        <v>3</v>
      </c>
      <c r="F125" s="40">
        <v>3</v>
      </c>
      <c r="G125" s="45">
        <v>9</v>
      </c>
      <c r="H125" s="54" t="s">
        <v>218</v>
      </c>
      <c r="I125" s="54" t="s">
        <v>219</v>
      </c>
      <c r="J125" s="51">
        <v>2</v>
      </c>
      <c r="K125" s="51">
        <v>2</v>
      </c>
      <c r="L125" s="51">
        <f t="shared" si="30"/>
        <v>36</v>
      </c>
      <c r="M125" s="61" t="str">
        <f t="shared" si="21"/>
        <v>Medium</v>
      </c>
      <c r="N125" s="83" t="s">
        <v>299</v>
      </c>
      <c r="O125" s="51">
        <v>1</v>
      </c>
      <c r="P125" s="51">
        <v>1</v>
      </c>
      <c r="Q125" s="53">
        <f t="shared" si="26"/>
        <v>9</v>
      </c>
      <c r="R125" s="62" t="str">
        <f t="shared" si="29"/>
        <v>Low</v>
      </c>
      <c r="S125" s="87" t="s">
        <v>388</v>
      </c>
      <c r="T125" s="57" t="s">
        <v>389</v>
      </c>
      <c r="U125" s="55" t="s">
        <v>318</v>
      </c>
      <c r="V125" s="55"/>
      <c r="W125" s="55"/>
      <c r="X125" s="56" t="s">
        <v>317</v>
      </c>
      <c r="Y125" s="56"/>
      <c r="Z125" s="56" t="str">
        <f t="shared" si="17"/>
        <v>Yes</v>
      </c>
      <c r="AA125" s="56" t="str">
        <f t="shared" si="27"/>
        <v>30 May,2023</v>
      </c>
    </row>
    <row r="126" spans="1:27" s="22" customFormat="1" ht="41.4" x14ac:dyDescent="0.3">
      <c r="A126" s="41"/>
      <c r="B126" s="43" t="s">
        <v>240</v>
      </c>
      <c r="C126" s="45" t="s">
        <v>266</v>
      </c>
      <c r="D126" s="40">
        <v>3</v>
      </c>
      <c r="E126" s="40">
        <v>3</v>
      </c>
      <c r="F126" s="40">
        <v>3</v>
      </c>
      <c r="G126" s="45">
        <v>9</v>
      </c>
      <c r="H126" s="54" t="s">
        <v>220</v>
      </c>
      <c r="I126" s="54" t="s">
        <v>221</v>
      </c>
      <c r="J126" s="51">
        <v>2</v>
      </c>
      <c r="K126" s="51">
        <v>2</v>
      </c>
      <c r="L126" s="51">
        <f t="shared" si="30"/>
        <v>36</v>
      </c>
      <c r="M126" s="61" t="str">
        <f t="shared" si="21"/>
        <v>Medium</v>
      </c>
      <c r="N126" s="63" t="s">
        <v>315</v>
      </c>
      <c r="O126" s="51">
        <v>1</v>
      </c>
      <c r="P126" s="51">
        <v>1</v>
      </c>
      <c r="Q126" s="53">
        <f t="shared" si="26"/>
        <v>9</v>
      </c>
      <c r="R126" s="62" t="str">
        <f t="shared" si="29"/>
        <v>Low</v>
      </c>
      <c r="S126" s="81" t="s">
        <v>382</v>
      </c>
      <c r="T126" s="57" t="s">
        <v>223</v>
      </c>
      <c r="U126" s="55" t="s">
        <v>318</v>
      </c>
      <c r="V126" s="55"/>
      <c r="W126" s="55"/>
      <c r="X126" s="56" t="s">
        <v>317</v>
      </c>
      <c r="Y126" s="56"/>
      <c r="Z126" s="56" t="str">
        <f t="shared" si="17"/>
        <v>Yes</v>
      </c>
      <c r="AA126" s="56" t="str">
        <f t="shared" si="27"/>
        <v>30 May,2023</v>
      </c>
    </row>
    <row r="127" spans="1:27" s="22" customFormat="1" ht="41.4" x14ac:dyDescent="0.3">
      <c r="A127" s="41"/>
      <c r="B127" s="43" t="s">
        <v>253</v>
      </c>
      <c r="C127" s="45" t="s">
        <v>267</v>
      </c>
      <c r="D127" s="40">
        <v>3</v>
      </c>
      <c r="E127" s="40">
        <v>3</v>
      </c>
      <c r="F127" s="40">
        <v>3</v>
      </c>
      <c r="G127" s="45">
        <v>9</v>
      </c>
      <c r="H127" s="44" t="s">
        <v>220</v>
      </c>
      <c r="I127" s="54" t="s">
        <v>221</v>
      </c>
      <c r="J127" s="51">
        <v>2</v>
      </c>
      <c r="K127" s="51">
        <v>2</v>
      </c>
      <c r="L127" s="51">
        <f t="shared" si="30"/>
        <v>36</v>
      </c>
      <c r="M127" s="61" t="str">
        <f t="shared" si="21"/>
        <v>Medium</v>
      </c>
      <c r="N127" s="63" t="s">
        <v>315</v>
      </c>
      <c r="O127" s="51">
        <v>1</v>
      </c>
      <c r="P127" s="51">
        <v>1</v>
      </c>
      <c r="Q127" s="53">
        <f t="shared" si="26"/>
        <v>9</v>
      </c>
      <c r="R127" s="62" t="str">
        <f t="shared" si="29"/>
        <v>Low</v>
      </c>
      <c r="S127" s="81" t="s">
        <v>382</v>
      </c>
      <c r="T127" s="57" t="s">
        <v>223</v>
      </c>
      <c r="U127" s="55" t="s">
        <v>318</v>
      </c>
      <c r="V127" s="55"/>
      <c r="W127" s="55"/>
      <c r="X127" s="56" t="s">
        <v>317</v>
      </c>
      <c r="Y127" s="56"/>
      <c r="Z127" s="56" t="str">
        <f t="shared" si="17"/>
        <v>Yes</v>
      </c>
      <c r="AA127" s="56" t="str">
        <f t="shared" si="27"/>
        <v>30 May,2023</v>
      </c>
    </row>
    <row r="128" spans="1:27" s="26" customFormat="1" ht="124.2" x14ac:dyDescent="0.3">
      <c r="A128" s="41"/>
      <c r="B128" s="43" t="s">
        <v>255</v>
      </c>
      <c r="C128" s="45" t="s">
        <v>268</v>
      </c>
      <c r="D128" s="40">
        <v>3</v>
      </c>
      <c r="E128" s="40">
        <v>3</v>
      </c>
      <c r="F128" s="40">
        <v>3</v>
      </c>
      <c r="G128" s="45">
        <v>9</v>
      </c>
      <c r="H128" s="54" t="s">
        <v>216</v>
      </c>
      <c r="I128" s="54" t="s">
        <v>217</v>
      </c>
      <c r="J128" s="51">
        <v>2</v>
      </c>
      <c r="K128" s="51">
        <v>2</v>
      </c>
      <c r="L128" s="51">
        <f t="shared" si="30"/>
        <v>36</v>
      </c>
      <c r="M128" s="61" t="str">
        <f t="shared" si="21"/>
        <v>Medium</v>
      </c>
      <c r="N128" s="83" t="s">
        <v>386</v>
      </c>
      <c r="O128" s="51">
        <v>1</v>
      </c>
      <c r="P128" s="51">
        <v>1</v>
      </c>
      <c r="Q128" s="53">
        <f t="shared" si="26"/>
        <v>9</v>
      </c>
      <c r="R128" s="62" t="str">
        <f t="shared" si="29"/>
        <v>Low</v>
      </c>
      <c r="S128" s="19" t="s">
        <v>387</v>
      </c>
      <c r="T128" s="57" t="s">
        <v>222</v>
      </c>
      <c r="U128" s="55" t="s">
        <v>318</v>
      </c>
      <c r="V128" s="55"/>
      <c r="W128" s="55"/>
      <c r="X128" s="56" t="s">
        <v>317</v>
      </c>
      <c r="Y128" s="56"/>
      <c r="Z128" s="56" t="str">
        <f t="shared" si="17"/>
        <v>Yes</v>
      </c>
      <c r="AA128" s="56" t="str">
        <f t="shared" si="27"/>
        <v>30 May,2023</v>
      </c>
    </row>
    <row r="129" spans="1:27" s="26" customFormat="1" ht="55.2" x14ac:dyDescent="0.3">
      <c r="A129" s="41"/>
      <c r="B129" s="43" t="s">
        <v>255</v>
      </c>
      <c r="C129" s="45" t="s">
        <v>268</v>
      </c>
      <c r="D129" s="40">
        <v>3</v>
      </c>
      <c r="E129" s="40">
        <v>3</v>
      </c>
      <c r="F129" s="40">
        <v>3</v>
      </c>
      <c r="G129" s="45">
        <v>9</v>
      </c>
      <c r="H129" s="44" t="s">
        <v>218</v>
      </c>
      <c r="I129" s="44" t="s">
        <v>219</v>
      </c>
      <c r="J129" s="51">
        <v>2</v>
      </c>
      <c r="K129" s="51">
        <v>2</v>
      </c>
      <c r="L129" s="51">
        <f t="shared" si="30"/>
        <v>36</v>
      </c>
      <c r="M129" s="61" t="str">
        <f t="shared" si="21"/>
        <v>Medium</v>
      </c>
      <c r="N129" s="83" t="s">
        <v>299</v>
      </c>
      <c r="O129" s="51">
        <v>1</v>
      </c>
      <c r="P129" s="51">
        <v>1</v>
      </c>
      <c r="Q129" s="53">
        <f t="shared" si="26"/>
        <v>9</v>
      </c>
      <c r="R129" s="62" t="str">
        <f t="shared" si="29"/>
        <v>Low</v>
      </c>
      <c r="S129" s="87" t="s">
        <v>388</v>
      </c>
      <c r="T129" s="57" t="s">
        <v>389</v>
      </c>
      <c r="U129" s="55" t="s">
        <v>318</v>
      </c>
      <c r="V129" s="55"/>
      <c r="W129" s="55"/>
      <c r="X129" s="56" t="s">
        <v>317</v>
      </c>
      <c r="Y129" s="56"/>
      <c r="Z129" s="56" t="str">
        <f t="shared" si="17"/>
        <v>Yes</v>
      </c>
      <c r="AA129" s="56" t="str">
        <f t="shared" si="27"/>
        <v>30 May,2023</v>
      </c>
    </row>
    <row r="130" spans="1:27" s="26" customFormat="1" ht="41.4" x14ac:dyDescent="0.3">
      <c r="A130" s="41"/>
      <c r="B130" s="43" t="s">
        <v>255</v>
      </c>
      <c r="C130" s="45" t="s">
        <v>268</v>
      </c>
      <c r="D130" s="40">
        <v>3</v>
      </c>
      <c r="E130" s="40">
        <v>3</v>
      </c>
      <c r="F130" s="40">
        <v>3</v>
      </c>
      <c r="G130" s="45">
        <v>9</v>
      </c>
      <c r="H130" s="44" t="s">
        <v>220</v>
      </c>
      <c r="I130" s="44" t="s">
        <v>221</v>
      </c>
      <c r="J130" s="51">
        <v>2</v>
      </c>
      <c r="K130" s="51">
        <v>2</v>
      </c>
      <c r="L130" s="51">
        <f t="shared" si="30"/>
        <v>36</v>
      </c>
      <c r="M130" s="61" t="str">
        <f t="shared" si="21"/>
        <v>Medium</v>
      </c>
      <c r="N130" s="63" t="s">
        <v>315</v>
      </c>
      <c r="O130" s="51">
        <v>1</v>
      </c>
      <c r="P130" s="51">
        <v>1</v>
      </c>
      <c r="Q130" s="53">
        <f t="shared" si="26"/>
        <v>9</v>
      </c>
      <c r="R130" s="62" t="str">
        <f t="shared" si="29"/>
        <v>Low</v>
      </c>
      <c r="S130" s="81" t="s">
        <v>382</v>
      </c>
      <c r="T130" s="57" t="s">
        <v>223</v>
      </c>
      <c r="U130" s="55" t="s">
        <v>318</v>
      </c>
      <c r="V130" s="55"/>
      <c r="W130" s="55"/>
      <c r="X130" s="56" t="s">
        <v>317</v>
      </c>
      <c r="Y130" s="56"/>
      <c r="Z130" s="56" t="str">
        <f t="shared" si="17"/>
        <v>Yes</v>
      </c>
      <c r="AA130" s="56" t="str">
        <f t="shared" si="27"/>
        <v>30 May,2023</v>
      </c>
    </row>
    <row r="131" spans="1:27" s="22" customFormat="1" ht="55.2" x14ac:dyDescent="0.3">
      <c r="A131" s="41"/>
      <c r="B131" s="43" t="s">
        <v>269</v>
      </c>
      <c r="C131" s="45" t="s">
        <v>270</v>
      </c>
      <c r="D131" s="40">
        <v>3</v>
      </c>
      <c r="E131" s="40">
        <v>3</v>
      </c>
      <c r="F131" s="40">
        <v>3</v>
      </c>
      <c r="G131" s="45">
        <v>9</v>
      </c>
      <c r="H131" s="44" t="s">
        <v>218</v>
      </c>
      <c r="I131" s="44" t="s">
        <v>219</v>
      </c>
      <c r="J131" s="51">
        <v>2</v>
      </c>
      <c r="K131" s="51">
        <v>2</v>
      </c>
      <c r="L131" s="51">
        <f t="shared" si="30"/>
        <v>36</v>
      </c>
      <c r="M131" s="61" t="str">
        <f t="shared" si="21"/>
        <v>Medium</v>
      </c>
      <c r="N131" s="83" t="s">
        <v>299</v>
      </c>
      <c r="O131" s="51">
        <v>1</v>
      </c>
      <c r="P131" s="51">
        <v>1</v>
      </c>
      <c r="Q131" s="53">
        <f t="shared" si="26"/>
        <v>9</v>
      </c>
      <c r="R131" s="62" t="str">
        <f t="shared" si="29"/>
        <v>Low</v>
      </c>
      <c r="S131" s="87" t="s">
        <v>388</v>
      </c>
      <c r="T131" s="57" t="s">
        <v>389</v>
      </c>
      <c r="U131" s="55" t="s">
        <v>318</v>
      </c>
      <c r="V131" s="55"/>
      <c r="W131" s="55"/>
      <c r="X131" s="56" t="s">
        <v>317</v>
      </c>
      <c r="Y131" s="56"/>
      <c r="Z131" s="56" t="str">
        <f t="shared" si="17"/>
        <v>Yes</v>
      </c>
      <c r="AA131" s="56" t="str">
        <f t="shared" si="27"/>
        <v>30 May,2023</v>
      </c>
    </row>
    <row r="132" spans="1:27" s="26" customFormat="1" ht="145.19999999999999" x14ac:dyDescent="0.3">
      <c r="A132" s="41"/>
      <c r="B132" s="43" t="s">
        <v>269</v>
      </c>
      <c r="C132" s="45" t="s">
        <v>270</v>
      </c>
      <c r="D132" s="40">
        <v>3</v>
      </c>
      <c r="E132" s="40">
        <v>3</v>
      </c>
      <c r="F132" s="40">
        <v>3</v>
      </c>
      <c r="G132" s="45">
        <v>9</v>
      </c>
      <c r="H132" s="44" t="s">
        <v>226</v>
      </c>
      <c r="I132" s="44" t="s">
        <v>215</v>
      </c>
      <c r="J132" s="51">
        <v>2</v>
      </c>
      <c r="K132" s="51">
        <v>2</v>
      </c>
      <c r="L132" s="51">
        <f t="shared" si="30"/>
        <v>36</v>
      </c>
      <c r="M132" s="61" t="str">
        <f t="shared" si="21"/>
        <v>Medium</v>
      </c>
      <c r="N132" s="63" t="s">
        <v>316</v>
      </c>
      <c r="O132" s="51">
        <v>1</v>
      </c>
      <c r="P132" s="51">
        <v>1</v>
      </c>
      <c r="Q132" s="53">
        <f t="shared" ref="Q132:Q170" si="31">O132*P132*G132</f>
        <v>9</v>
      </c>
      <c r="R132" s="62" t="str">
        <f t="shared" si="29"/>
        <v>Low</v>
      </c>
      <c r="S132" s="19" t="s">
        <v>394</v>
      </c>
      <c r="T132" s="80" t="s">
        <v>312</v>
      </c>
      <c r="U132" s="55" t="s">
        <v>318</v>
      </c>
      <c r="V132" s="55"/>
      <c r="W132" s="55"/>
      <c r="X132" s="56" t="s">
        <v>317</v>
      </c>
      <c r="Y132" s="56"/>
      <c r="Z132" s="56" t="str">
        <f t="shared" si="17"/>
        <v>Yes</v>
      </c>
      <c r="AA132" s="56" t="str">
        <f t="shared" si="27"/>
        <v>30 May,2023</v>
      </c>
    </row>
    <row r="133" spans="1:27" s="26" customFormat="1" ht="124.2" x14ac:dyDescent="0.3">
      <c r="A133" s="41"/>
      <c r="B133" s="43" t="s">
        <v>269</v>
      </c>
      <c r="C133" s="45" t="s">
        <v>270</v>
      </c>
      <c r="D133" s="40">
        <v>3</v>
      </c>
      <c r="E133" s="40">
        <v>3</v>
      </c>
      <c r="F133" s="40">
        <v>3</v>
      </c>
      <c r="G133" s="45">
        <v>9</v>
      </c>
      <c r="H133" s="44" t="s">
        <v>216</v>
      </c>
      <c r="I133" s="44" t="s">
        <v>217</v>
      </c>
      <c r="J133" s="51">
        <v>2</v>
      </c>
      <c r="K133" s="51">
        <v>2</v>
      </c>
      <c r="L133" s="51">
        <f t="shared" si="30"/>
        <v>36</v>
      </c>
      <c r="M133" s="61" t="str">
        <f t="shared" si="21"/>
        <v>Medium</v>
      </c>
      <c r="N133" s="83" t="s">
        <v>386</v>
      </c>
      <c r="O133" s="51">
        <v>1</v>
      </c>
      <c r="P133" s="51">
        <v>1</v>
      </c>
      <c r="Q133" s="53">
        <f t="shared" si="31"/>
        <v>9</v>
      </c>
      <c r="R133" s="62" t="str">
        <f t="shared" si="29"/>
        <v>Low</v>
      </c>
      <c r="S133" s="19" t="s">
        <v>387</v>
      </c>
      <c r="T133" s="57" t="s">
        <v>222</v>
      </c>
      <c r="U133" s="55" t="s">
        <v>318</v>
      </c>
      <c r="V133" s="55"/>
      <c r="W133" s="55"/>
      <c r="X133" s="56" t="s">
        <v>317</v>
      </c>
      <c r="Y133" s="56"/>
      <c r="Z133" s="56" t="str">
        <f t="shared" ref="Z133:Z196" si="32">IF(Q133&lt;=20,"Yes",IF(Q133&gt;20,"No"))</f>
        <v>Yes</v>
      </c>
      <c r="AA133" s="56" t="str">
        <f t="shared" ref="AA133:AA170" si="33">IF(Z133="Yes","30 May,2023",IF(Z133="No","30 Aug,2022"))</f>
        <v>30 May,2023</v>
      </c>
    </row>
    <row r="134" spans="1:27" s="26" customFormat="1" ht="55.2" x14ac:dyDescent="0.3">
      <c r="A134" s="41"/>
      <c r="B134" s="43" t="s">
        <v>271</v>
      </c>
      <c r="C134" s="45" t="s">
        <v>272</v>
      </c>
      <c r="D134" s="40">
        <v>3</v>
      </c>
      <c r="E134" s="40">
        <v>3</v>
      </c>
      <c r="F134" s="40">
        <v>3</v>
      </c>
      <c r="G134" s="45">
        <v>9</v>
      </c>
      <c r="H134" s="44" t="s">
        <v>218</v>
      </c>
      <c r="I134" s="39" t="s">
        <v>219</v>
      </c>
      <c r="J134" s="51">
        <v>2</v>
      </c>
      <c r="K134" s="51">
        <v>2</v>
      </c>
      <c r="L134" s="51">
        <f t="shared" si="30"/>
        <v>36</v>
      </c>
      <c r="M134" s="61" t="str">
        <f t="shared" si="21"/>
        <v>Medium</v>
      </c>
      <c r="N134" s="83" t="s">
        <v>299</v>
      </c>
      <c r="O134" s="51">
        <v>1</v>
      </c>
      <c r="P134" s="51">
        <v>1</v>
      </c>
      <c r="Q134" s="53">
        <f t="shared" si="31"/>
        <v>9</v>
      </c>
      <c r="R134" s="62" t="str">
        <f t="shared" si="29"/>
        <v>Low</v>
      </c>
      <c r="S134" s="87" t="s">
        <v>388</v>
      </c>
      <c r="T134" s="57" t="s">
        <v>389</v>
      </c>
      <c r="U134" s="55" t="s">
        <v>318</v>
      </c>
      <c r="V134" s="55"/>
      <c r="W134" s="55"/>
      <c r="X134" s="56" t="s">
        <v>317</v>
      </c>
      <c r="Y134" s="56"/>
      <c r="Z134" s="56" t="str">
        <f t="shared" si="32"/>
        <v>Yes</v>
      </c>
      <c r="AA134" s="56" t="str">
        <f t="shared" si="33"/>
        <v>30 May,2023</v>
      </c>
    </row>
    <row r="135" spans="1:27" s="26" customFormat="1" ht="124.2" x14ac:dyDescent="0.3">
      <c r="A135" s="41"/>
      <c r="B135" s="43" t="s">
        <v>271</v>
      </c>
      <c r="C135" s="45" t="s">
        <v>273</v>
      </c>
      <c r="D135" s="40">
        <v>3</v>
      </c>
      <c r="E135" s="40">
        <v>3</v>
      </c>
      <c r="F135" s="40">
        <v>3</v>
      </c>
      <c r="G135" s="45">
        <v>9</v>
      </c>
      <c r="H135" s="44" t="s">
        <v>216</v>
      </c>
      <c r="I135" s="44" t="s">
        <v>217</v>
      </c>
      <c r="J135" s="51">
        <v>2</v>
      </c>
      <c r="K135" s="51">
        <v>2</v>
      </c>
      <c r="L135" s="51">
        <f t="shared" si="30"/>
        <v>36</v>
      </c>
      <c r="M135" s="61" t="str">
        <f t="shared" si="21"/>
        <v>Medium</v>
      </c>
      <c r="N135" s="83" t="s">
        <v>386</v>
      </c>
      <c r="O135" s="51">
        <v>1</v>
      </c>
      <c r="P135" s="51">
        <v>1</v>
      </c>
      <c r="Q135" s="53">
        <f t="shared" si="31"/>
        <v>9</v>
      </c>
      <c r="R135" s="62" t="str">
        <f t="shared" si="29"/>
        <v>Low</v>
      </c>
      <c r="S135" s="19" t="s">
        <v>387</v>
      </c>
      <c r="T135" s="57" t="s">
        <v>222</v>
      </c>
      <c r="U135" s="55" t="s">
        <v>318</v>
      </c>
      <c r="V135" s="55"/>
      <c r="W135" s="55"/>
      <c r="X135" s="56" t="s">
        <v>317</v>
      </c>
      <c r="Y135" s="56"/>
      <c r="Z135" s="56" t="str">
        <f t="shared" si="32"/>
        <v>Yes</v>
      </c>
      <c r="AA135" s="56" t="str">
        <f t="shared" si="33"/>
        <v>30 May,2023</v>
      </c>
    </row>
    <row r="136" spans="1:27" s="22" customFormat="1" ht="55.2" x14ac:dyDescent="0.3">
      <c r="A136" s="41"/>
      <c r="B136" s="43" t="s">
        <v>271</v>
      </c>
      <c r="C136" s="45" t="s">
        <v>273</v>
      </c>
      <c r="D136" s="40">
        <v>3</v>
      </c>
      <c r="E136" s="40">
        <v>3</v>
      </c>
      <c r="F136" s="40">
        <v>3</v>
      </c>
      <c r="G136" s="45">
        <v>9</v>
      </c>
      <c r="H136" s="44" t="s">
        <v>218</v>
      </c>
      <c r="I136" s="44" t="s">
        <v>219</v>
      </c>
      <c r="J136" s="51">
        <v>2</v>
      </c>
      <c r="K136" s="51">
        <v>2</v>
      </c>
      <c r="L136" s="51">
        <f t="shared" si="30"/>
        <v>36</v>
      </c>
      <c r="M136" s="61" t="str">
        <f t="shared" si="21"/>
        <v>Medium</v>
      </c>
      <c r="N136" s="83" t="s">
        <v>299</v>
      </c>
      <c r="O136" s="51">
        <v>1</v>
      </c>
      <c r="P136" s="51">
        <v>1</v>
      </c>
      <c r="Q136" s="53">
        <f t="shared" si="31"/>
        <v>9</v>
      </c>
      <c r="R136" s="62" t="str">
        <f t="shared" si="29"/>
        <v>Low</v>
      </c>
      <c r="S136" s="87" t="s">
        <v>388</v>
      </c>
      <c r="T136" s="57" t="s">
        <v>389</v>
      </c>
      <c r="U136" s="55" t="s">
        <v>318</v>
      </c>
      <c r="V136" s="55"/>
      <c r="W136" s="55"/>
      <c r="X136" s="56" t="s">
        <v>317</v>
      </c>
      <c r="Y136" s="56"/>
      <c r="Z136" s="56" t="str">
        <f t="shared" si="32"/>
        <v>Yes</v>
      </c>
      <c r="AA136" s="56" t="str">
        <f t="shared" si="33"/>
        <v>30 May,2023</v>
      </c>
    </row>
    <row r="137" spans="1:27" s="22" customFormat="1" ht="41.4" x14ac:dyDescent="0.3">
      <c r="A137" s="41"/>
      <c r="B137" s="43" t="s">
        <v>271</v>
      </c>
      <c r="C137" s="45" t="s">
        <v>273</v>
      </c>
      <c r="D137" s="40">
        <v>3</v>
      </c>
      <c r="E137" s="40">
        <v>3</v>
      </c>
      <c r="F137" s="40">
        <v>3</v>
      </c>
      <c r="G137" s="45">
        <v>9</v>
      </c>
      <c r="H137" s="44" t="s">
        <v>220</v>
      </c>
      <c r="I137" s="44" t="s">
        <v>221</v>
      </c>
      <c r="J137" s="51">
        <v>2</v>
      </c>
      <c r="K137" s="51">
        <v>2</v>
      </c>
      <c r="L137" s="51">
        <f t="shared" si="30"/>
        <v>36</v>
      </c>
      <c r="M137" s="61" t="str">
        <f t="shared" si="21"/>
        <v>Medium</v>
      </c>
      <c r="N137" s="63" t="s">
        <v>315</v>
      </c>
      <c r="O137" s="51">
        <v>1</v>
      </c>
      <c r="P137" s="51">
        <v>1</v>
      </c>
      <c r="Q137" s="53">
        <f t="shared" si="31"/>
        <v>9</v>
      </c>
      <c r="R137" s="62" t="str">
        <f t="shared" si="29"/>
        <v>Low</v>
      </c>
      <c r="S137" s="81" t="s">
        <v>382</v>
      </c>
      <c r="T137" s="57" t="s">
        <v>223</v>
      </c>
      <c r="U137" s="55" t="s">
        <v>318</v>
      </c>
      <c r="V137" s="55"/>
      <c r="W137" s="55"/>
      <c r="X137" s="56" t="s">
        <v>317</v>
      </c>
      <c r="Y137" s="56"/>
      <c r="Z137" s="56" t="str">
        <f t="shared" si="32"/>
        <v>Yes</v>
      </c>
      <c r="AA137" s="56" t="str">
        <f t="shared" si="33"/>
        <v>30 May,2023</v>
      </c>
    </row>
    <row r="138" spans="1:27" s="26" customFormat="1" ht="41.4" x14ac:dyDescent="0.3">
      <c r="A138" s="41"/>
      <c r="B138" s="43" t="s">
        <v>274</v>
      </c>
      <c r="C138" s="45" t="s">
        <v>275</v>
      </c>
      <c r="D138" s="40">
        <v>3</v>
      </c>
      <c r="E138" s="40">
        <v>3</v>
      </c>
      <c r="F138" s="40">
        <v>3</v>
      </c>
      <c r="G138" s="45">
        <v>9</v>
      </c>
      <c r="H138" s="44" t="s">
        <v>220</v>
      </c>
      <c r="I138" s="44" t="s">
        <v>221</v>
      </c>
      <c r="J138" s="51">
        <v>2</v>
      </c>
      <c r="K138" s="51">
        <v>2</v>
      </c>
      <c r="L138" s="51">
        <f t="shared" si="30"/>
        <v>36</v>
      </c>
      <c r="M138" s="61" t="str">
        <f t="shared" si="21"/>
        <v>Medium</v>
      </c>
      <c r="N138" s="63" t="s">
        <v>315</v>
      </c>
      <c r="O138" s="51">
        <v>1</v>
      </c>
      <c r="P138" s="51">
        <v>1</v>
      </c>
      <c r="Q138" s="53">
        <f t="shared" si="31"/>
        <v>9</v>
      </c>
      <c r="R138" s="62" t="str">
        <f t="shared" si="29"/>
        <v>Low</v>
      </c>
      <c r="S138" s="81" t="s">
        <v>382</v>
      </c>
      <c r="T138" s="57" t="s">
        <v>223</v>
      </c>
      <c r="U138" s="55" t="s">
        <v>318</v>
      </c>
      <c r="V138" s="55"/>
      <c r="W138" s="55"/>
      <c r="X138" s="56" t="s">
        <v>317</v>
      </c>
      <c r="Y138" s="56"/>
      <c r="Z138" s="56" t="str">
        <f t="shared" si="32"/>
        <v>Yes</v>
      </c>
      <c r="AA138" s="56" t="str">
        <f t="shared" si="33"/>
        <v>30 May,2023</v>
      </c>
    </row>
    <row r="139" spans="1:27" s="26" customFormat="1" ht="55.2" x14ac:dyDescent="0.3">
      <c r="A139" s="41"/>
      <c r="B139" s="43" t="s">
        <v>276</v>
      </c>
      <c r="C139" s="45" t="s">
        <v>277</v>
      </c>
      <c r="D139" s="40">
        <v>3</v>
      </c>
      <c r="E139" s="40">
        <v>3</v>
      </c>
      <c r="F139" s="40">
        <v>3</v>
      </c>
      <c r="G139" s="45">
        <v>9</v>
      </c>
      <c r="H139" s="54" t="s">
        <v>218</v>
      </c>
      <c r="I139" s="54" t="s">
        <v>219</v>
      </c>
      <c r="J139" s="51">
        <v>2</v>
      </c>
      <c r="K139" s="51">
        <v>2</v>
      </c>
      <c r="L139" s="51">
        <f t="shared" si="30"/>
        <v>36</v>
      </c>
      <c r="M139" s="61" t="str">
        <f t="shared" ref="M139:M159" si="34">IF(L139&lt;=20,"Low",IF(L139&lt;=40,"Medium",IF(L139&lt;=81,"High")))</f>
        <v>Medium</v>
      </c>
      <c r="N139" s="83" t="s">
        <v>299</v>
      </c>
      <c r="O139" s="51">
        <v>1</v>
      </c>
      <c r="P139" s="51">
        <v>1</v>
      </c>
      <c r="Q139" s="53">
        <f t="shared" si="31"/>
        <v>9</v>
      </c>
      <c r="R139" s="62" t="str">
        <f t="shared" si="29"/>
        <v>Low</v>
      </c>
      <c r="S139" s="87" t="s">
        <v>388</v>
      </c>
      <c r="T139" s="57" t="s">
        <v>389</v>
      </c>
      <c r="U139" s="55" t="s">
        <v>318</v>
      </c>
      <c r="V139" s="55"/>
      <c r="W139" s="55"/>
      <c r="X139" s="56" t="s">
        <v>317</v>
      </c>
      <c r="Y139" s="56"/>
      <c r="Z139" s="56" t="str">
        <f t="shared" si="32"/>
        <v>Yes</v>
      </c>
      <c r="AA139" s="56" t="str">
        <f t="shared" si="33"/>
        <v>30 May,2023</v>
      </c>
    </row>
    <row r="140" spans="1:27" s="26" customFormat="1" ht="145.19999999999999" x14ac:dyDescent="0.3">
      <c r="A140" s="41"/>
      <c r="B140" s="43" t="s">
        <v>276</v>
      </c>
      <c r="C140" s="45" t="s">
        <v>277</v>
      </c>
      <c r="D140" s="40">
        <v>3</v>
      </c>
      <c r="E140" s="40">
        <v>3</v>
      </c>
      <c r="F140" s="40">
        <v>3</v>
      </c>
      <c r="G140" s="45">
        <v>9</v>
      </c>
      <c r="H140" s="54" t="s">
        <v>226</v>
      </c>
      <c r="I140" s="54" t="s">
        <v>215</v>
      </c>
      <c r="J140" s="51">
        <v>2</v>
      </c>
      <c r="K140" s="51">
        <v>2</v>
      </c>
      <c r="L140" s="51">
        <f t="shared" si="30"/>
        <v>36</v>
      </c>
      <c r="M140" s="61" t="str">
        <f t="shared" si="34"/>
        <v>Medium</v>
      </c>
      <c r="N140" s="63" t="s">
        <v>316</v>
      </c>
      <c r="O140" s="51">
        <v>1</v>
      </c>
      <c r="P140" s="51">
        <v>1</v>
      </c>
      <c r="Q140" s="53">
        <f t="shared" si="31"/>
        <v>9</v>
      </c>
      <c r="R140" s="62" t="str">
        <f t="shared" si="29"/>
        <v>Low</v>
      </c>
      <c r="S140" s="19" t="s">
        <v>394</v>
      </c>
      <c r="T140" s="80" t="s">
        <v>312</v>
      </c>
      <c r="U140" s="55" t="s">
        <v>318</v>
      </c>
      <c r="V140" s="55"/>
      <c r="W140" s="55"/>
      <c r="X140" s="56" t="s">
        <v>317</v>
      </c>
      <c r="Y140" s="56"/>
      <c r="Z140" s="56" t="str">
        <f t="shared" si="32"/>
        <v>Yes</v>
      </c>
      <c r="AA140" s="56" t="str">
        <f t="shared" si="33"/>
        <v>30 May,2023</v>
      </c>
    </row>
    <row r="141" spans="1:27" s="26" customFormat="1" ht="124.2" x14ac:dyDescent="0.3">
      <c r="A141" s="41"/>
      <c r="B141" s="43" t="s">
        <v>301</v>
      </c>
      <c r="C141" s="45" t="s">
        <v>307</v>
      </c>
      <c r="D141" s="40">
        <v>3</v>
      </c>
      <c r="E141" s="40">
        <v>3</v>
      </c>
      <c r="F141" s="40">
        <v>3</v>
      </c>
      <c r="G141" s="45">
        <v>9</v>
      </c>
      <c r="H141" s="44" t="s">
        <v>216</v>
      </c>
      <c r="I141" s="39" t="s">
        <v>217</v>
      </c>
      <c r="J141" s="51">
        <v>2</v>
      </c>
      <c r="K141" s="51">
        <v>2</v>
      </c>
      <c r="L141" s="51">
        <f t="shared" si="30"/>
        <v>36</v>
      </c>
      <c r="M141" s="61" t="str">
        <f t="shared" si="34"/>
        <v>Medium</v>
      </c>
      <c r="N141" s="83" t="s">
        <v>386</v>
      </c>
      <c r="O141" s="51">
        <v>1</v>
      </c>
      <c r="P141" s="51">
        <v>1</v>
      </c>
      <c r="Q141" s="53">
        <f t="shared" si="31"/>
        <v>9</v>
      </c>
      <c r="R141" s="62" t="str">
        <f t="shared" si="29"/>
        <v>Low</v>
      </c>
      <c r="S141" s="19" t="s">
        <v>387</v>
      </c>
      <c r="T141" s="57" t="s">
        <v>222</v>
      </c>
      <c r="U141" s="55" t="s">
        <v>318</v>
      </c>
      <c r="V141" s="55"/>
      <c r="W141" s="55"/>
      <c r="X141" s="56" t="s">
        <v>317</v>
      </c>
      <c r="Y141" s="56"/>
      <c r="Z141" s="56" t="str">
        <f t="shared" si="32"/>
        <v>Yes</v>
      </c>
      <c r="AA141" s="56" t="str">
        <f t="shared" si="33"/>
        <v>30 May,2023</v>
      </c>
    </row>
    <row r="142" spans="1:27" s="22" customFormat="1" ht="55.2" x14ac:dyDescent="0.3">
      <c r="A142" s="41"/>
      <c r="B142" s="43" t="s">
        <v>302</v>
      </c>
      <c r="C142" s="45" t="s">
        <v>307</v>
      </c>
      <c r="D142" s="40">
        <v>3</v>
      </c>
      <c r="E142" s="40">
        <v>3</v>
      </c>
      <c r="F142" s="40">
        <v>3</v>
      </c>
      <c r="G142" s="45">
        <v>9</v>
      </c>
      <c r="H142" s="54" t="s">
        <v>218</v>
      </c>
      <c r="I142" s="54" t="s">
        <v>219</v>
      </c>
      <c r="J142" s="51">
        <v>2</v>
      </c>
      <c r="K142" s="51">
        <v>2</v>
      </c>
      <c r="L142" s="51">
        <f t="shared" si="30"/>
        <v>36</v>
      </c>
      <c r="M142" s="61" t="str">
        <f t="shared" si="34"/>
        <v>Medium</v>
      </c>
      <c r="N142" s="83" t="s">
        <v>299</v>
      </c>
      <c r="O142" s="51">
        <v>1</v>
      </c>
      <c r="P142" s="51">
        <v>1</v>
      </c>
      <c r="Q142" s="53">
        <f t="shared" si="31"/>
        <v>9</v>
      </c>
      <c r="R142" s="62" t="str">
        <f t="shared" si="29"/>
        <v>Low</v>
      </c>
      <c r="S142" s="87" t="s">
        <v>388</v>
      </c>
      <c r="T142" s="57" t="s">
        <v>389</v>
      </c>
      <c r="U142" s="55" t="s">
        <v>318</v>
      </c>
      <c r="V142" s="55"/>
      <c r="W142" s="55"/>
      <c r="X142" s="56" t="s">
        <v>317</v>
      </c>
      <c r="Y142" s="56"/>
      <c r="Z142" s="56" t="str">
        <f t="shared" si="32"/>
        <v>Yes</v>
      </c>
      <c r="AA142" s="56" t="str">
        <f t="shared" si="33"/>
        <v>30 May,2023</v>
      </c>
    </row>
    <row r="143" spans="1:27" s="26" customFormat="1" ht="145.19999999999999" x14ac:dyDescent="0.3">
      <c r="A143" s="41"/>
      <c r="B143" s="43" t="s">
        <v>306</v>
      </c>
      <c r="C143" s="45" t="s">
        <v>307</v>
      </c>
      <c r="D143" s="40">
        <v>3</v>
      </c>
      <c r="E143" s="40">
        <v>3</v>
      </c>
      <c r="F143" s="40">
        <v>3</v>
      </c>
      <c r="G143" s="45">
        <v>9</v>
      </c>
      <c r="H143" s="54" t="s">
        <v>226</v>
      </c>
      <c r="I143" s="54" t="s">
        <v>215</v>
      </c>
      <c r="J143" s="51">
        <v>2</v>
      </c>
      <c r="K143" s="51">
        <v>2</v>
      </c>
      <c r="L143" s="51">
        <f t="shared" si="30"/>
        <v>36</v>
      </c>
      <c r="M143" s="61" t="str">
        <f t="shared" si="34"/>
        <v>Medium</v>
      </c>
      <c r="N143" s="63" t="s">
        <v>316</v>
      </c>
      <c r="O143" s="51">
        <v>1</v>
      </c>
      <c r="P143" s="51">
        <v>1</v>
      </c>
      <c r="Q143" s="53">
        <f t="shared" si="31"/>
        <v>9</v>
      </c>
      <c r="R143" s="62" t="str">
        <f t="shared" si="29"/>
        <v>Low</v>
      </c>
      <c r="S143" s="19" t="s">
        <v>394</v>
      </c>
      <c r="T143" s="80" t="s">
        <v>312</v>
      </c>
      <c r="U143" s="55" t="s">
        <v>318</v>
      </c>
      <c r="V143" s="55"/>
      <c r="W143" s="55"/>
      <c r="X143" s="56" t="s">
        <v>317</v>
      </c>
      <c r="Y143" s="56"/>
      <c r="Z143" s="56" t="str">
        <f t="shared" si="32"/>
        <v>Yes</v>
      </c>
      <c r="AA143" s="56" t="str">
        <f t="shared" si="33"/>
        <v>30 May,2023</v>
      </c>
    </row>
    <row r="144" spans="1:27" s="26" customFormat="1" ht="124.2" x14ac:dyDescent="0.3">
      <c r="A144" s="41"/>
      <c r="B144" s="43" t="s">
        <v>276</v>
      </c>
      <c r="C144" s="45" t="s">
        <v>277</v>
      </c>
      <c r="D144" s="40">
        <v>3</v>
      </c>
      <c r="E144" s="40">
        <v>3</v>
      </c>
      <c r="F144" s="40">
        <v>3</v>
      </c>
      <c r="G144" s="45">
        <v>9</v>
      </c>
      <c r="H144" s="44" t="s">
        <v>216</v>
      </c>
      <c r="I144" s="39" t="s">
        <v>217</v>
      </c>
      <c r="J144" s="51">
        <v>2</v>
      </c>
      <c r="K144" s="51">
        <v>2</v>
      </c>
      <c r="L144" s="51">
        <f t="shared" ref="L144:L163" si="35">K144*J144*G144</f>
        <v>36</v>
      </c>
      <c r="M144" s="61" t="str">
        <f t="shared" si="34"/>
        <v>Medium</v>
      </c>
      <c r="N144" s="83" t="s">
        <v>386</v>
      </c>
      <c r="O144" s="51">
        <v>1</v>
      </c>
      <c r="P144" s="51">
        <v>1</v>
      </c>
      <c r="Q144" s="53">
        <f t="shared" si="31"/>
        <v>9</v>
      </c>
      <c r="R144" s="62" t="str">
        <f t="shared" si="29"/>
        <v>Low</v>
      </c>
      <c r="S144" s="19" t="s">
        <v>387</v>
      </c>
      <c r="T144" s="57" t="s">
        <v>222</v>
      </c>
      <c r="U144" s="55" t="s">
        <v>318</v>
      </c>
      <c r="V144" s="55"/>
      <c r="W144" s="55"/>
      <c r="X144" s="56" t="s">
        <v>317</v>
      </c>
      <c r="Y144" s="56"/>
      <c r="Z144" s="56" t="str">
        <f t="shared" si="32"/>
        <v>Yes</v>
      </c>
      <c r="AA144" s="56" t="str">
        <f t="shared" si="33"/>
        <v>30 May,2023</v>
      </c>
    </row>
    <row r="145" spans="1:28" s="22" customFormat="1" ht="55.2" x14ac:dyDescent="0.3">
      <c r="A145" s="41"/>
      <c r="B145" s="43" t="s">
        <v>278</v>
      </c>
      <c r="C145" s="45" t="s">
        <v>279</v>
      </c>
      <c r="D145" s="40">
        <v>3</v>
      </c>
      <c r="E145" s="40">
        <v>3</v>
      </c>
      <c r="F145" s="40">
        <v>3</v>
      </c>
      <c r="G145" s="45">
        <v>9</v>
      </c>
      <c r="H145" s="44" t="s">
        <v>218</v>
      </c>
      <c r="I145" s="44" t="s">
        <v>219</v>
      </c>
      <c r="J145" s="51">
        <v>2</v>
      </c>
      <c r="K145" s="51">
        <v>2</v>
      </c>
      <c r="L145" s="51">
        <f t="shared" si="35"/>
        <v>36</v>
      </c>
      <c r="M145" s="61" t="str">
        <f t="shared" si="34"/>
        <v>Medium</v>
      </c>
      <c r="N145" s="83" t="s">
        <v>299</v>
      </c>
      <c r="O145" s="51">
        <v>1</v>
      </c>
      <c r="P145" s="51">
        <v>1</v>
      </c>
      <c r="Q145" s="53">
        <f t="shared" si="31"/>
        <v>9</v>
      </c>
      <c r="R145" s="62" t="str">
        <f t="shared" si="29"/>
        <v>Low</v>
      </c>
      <c r="S145" s="87" t="s">
        <v>388</v>
      </c>
      <c r="T145" s="57" t="s">
        <v>389</v>
      </c>
      <c r="U145" s="55" t="s">
        <v>318</v>
      </c>
      <c r="V145" s="55"/>
      <c r="W145" s="55"/>
      <c r="X145" s="56" t="s">
        <v>317</v>
      </c>
      <c r="Y145" s="56"/>
      <c r="Z145" s="56" t="str">
        <f t="shared" si="32"/>
        <v>Yes</v>
      </c>
      <c r="AA145" s="56" t="str">
        <f t="shared" si="33"/>
        <v>30 May,2023</v>
      </c>
    </row>
    <row r="146" spans="1:28" s="22" customFormat="1" ht="145.19999999999999" x14ac:dyDescent="0.3">
      <c r="A146" s="41"/>
      <c r="B146" s="43" t="s">
        <v>278</v>
      </c>
      <c r="C146" s="45" t="s">
        <v>279</v>
      </c>
      <c r="D146" s="40">
        <v>3</v>
      </c>
      <c r="E146" s="40">
        <v>3</v>
      </c>
      <c r="F146" s="40">
        <v>3</v>
      </c>
      <c r="G146" s="45">
        <v>9</v>
      </c>
      <c r="H146" s="44" t="s">
        <v>226</v>
      </c>
      <c r="I146" s="44" t="s">
        <v>215</v>
      </c>
      <c r="J146" s="51">
        <v>2</v>
      </c>
      <c r="K146" s="51">
        <v>2</v>
      </c>
      <c r="L146" s="51">
        <f t="shared" si="35"/>
        <v>36</v>
      </c>
      <c r="M146" s="61" t="str">
        <f t="shared" si="34"/>
        <v>Medium</v>
      </c>
      <c r="N146" s="63" t="s">
        <v>316</v>
      </c>
      <c r="O146" s="51">
        <v>1</v>
      </c>
      <c r="P146" s="51">
        <v>1</v>
      </c>
      <c r="Q146" s="53">
        <f t="shared" si="31"/>
        <v>9</v>
      </c>
      <c r="R146" s="62" t="str">
        <f t="shared" si="29"/>
        <v>Low</v>
      </c>
      <c r="S146" s="19" t="s">
        <v>394</v>
      </c>
      <c r="T146" s="80" t="s">
        <v>312</v>
      </c>
      <c r="U146" s="55" t="s">
        <v>318</v>
      </c>
      <c r="V146" s="55"/>
      <c r="W146" s="55"/>
      <c r="X146" s="56" t="s">
        <v>317</v>
      </c>
      <c r="Y146" s="56"/>
      <c r="Z146" s="56" t="str">
        <f t="shared" si="32"/>
        <v>Yes</v>
      </c>
      <c r="AA146" s="56" t="str">
        <f t="shared" si="33"/>
        <v>30 May,2023</v>
      </c>
    </row>
    <row r="147" spans="1:28" s="22" customFormat="1" ht="124.2" x14ac:dyDescent="0.3">
      <c r="A147" s="41"/>
      <c r="B147" s="43" t="s">
        <v>278</v>
      </c>
      <c r="C147" s="45" t="s">
        <v>279</v>
      </c>
      <c r="D147" s="40">
        <v>3</v>
      </c>
      <c r="E147" s="40">
        <v>3</v>
      </c>
      <c r="F147" s="40">
        <v>3</v>
      </c>
      <c r="G147" s="45">
        <v>9</v>
      </c>
      <c r="H147" s="44" t="s">
        <v>216</v>
      </c>
      <c r="I147" s="39" t="s">
        <v>217</v>
      </c>
      <c r="J147" s="51">
        <v>2</v>
      </c>
      <c r="K147" s="51">
        <v>2</v>
      </c>
      <c r="L147" s="51">
        <f t="shared" si="35"/>
        <v>36</v>
      </c>
      <c r="M147" s="61" t="str">
        <f t="shared" si="34"/>
        <v>Medium</v>
      </c>
      <c r="N147" s="83" t="s">
        <v>386</v>
      </c>
      <c r="O147" s="51">
        <v>1</v>
      </c>
      <c r="P147" s="51">
        <v>1</v>
      </c>
      <c r="Q147" s="53">
        <f t="shared" si="31"/>
        <v>9</v>
      </c>
      <c r="R147" s="62" t="str">
        <f t="shared" si="29"/>
        <v>Low</v>
      </c>
      <c r="S147" s="19" t="s">
        <v>387</v>
      </c>
      <c r="T147" s="57" t="s">
        <v>222</v>
      </c>
      <c r="U147" s="55" t="s">
        <v>318</v>
      </c>
      <c r="V147" s="55"/>
      <c r="W147" s="55"/>
      <c r="X147" s="56" t="s">
        <v>317</v>
      </c>
      <c r="Y147" s="56"/>
      <c r="Z147" s="56" t="str">
        <f t="shared" si="32"/>
        <v>Yes</v>
      </c>
      <c r="AA147" s="56" t="str">
        <f t="shared" si="33"/>
        <v>30 May,2023</v>
      </c>
    </row>
    <row r="148" spans="1:28" s="22" customFormat="1" ht="124.2" x14ac:dyDescent="0.3">
      <c r="A148" s="41"/>
      <c r="B148" s="43" t="s">
        <v>247</v>
      </c>
      <c r="C148" s="45" t="s">
        <v>280</v>
      </c>
      <c r="D148" s="40">
        <v>3</v>
      </c>
      <c r="E148" s="40">
        <v>3</v>
      </c>
      <c r="F148" s="40">
        <v>3</v>
      </c>
      <c r="G148" s="45">
        <v>9</v>
      </c>
      <c r="H148" s="44" t="s">
        <v>216</v>
      </c>
      <c r="I148" s="44" t="s">
        <v>217</v>
      </c>
      <c r="J148" s="51">
        <v>2</v>
      </c>
      <c r="K148" s="51">
        <v>2</v>
      </c>
      <c r="L148" s="51">
        <f t="shared" si="35"/>
        <v>36</v>
      </c>
      <c r="M148" s="61" t="str">
        <f t="shared" si="34"/>
        <v>Medium</v>
      </c>
      <c r="N148" s="83" t="s">
        <v>386</v>
      </c>
      <c r="O148" s="51">
        <v>1</v>
      </c>
      <c r="P148" s="51">
        <v>1</v>
      </c>
      <c r="Q148" s="53">
        <f t="shared" si="31"/>
        <v>9</v>
      </c>
      <c r="R148" s="62" t="str">
        <f t="shared" si="29"/>
        <v>Low</v>
      </c>
      <c r="S148" s="19" t="s">
        <v>387</v>
      </c>
      <c r="T148" s="57" t="s">
        <v>222</v>
      </c>
      <c r="U148" s="55" t="s">
        <v>318</v>
      </c>
      <c r="V148" s="55"/>
      <c r="W148" s="55"/>
      <c r="X148" s="56" t="s">
        <v>317</v>
      </c>
      <c r="Y148" s="56"/>
      <c r="Z148" s="56" t="str">
        <f t="shared" si="32"/>
        <v>Yes</v>
      </c>
      <c r="AA148" s="56" t="str">
        <f t="shared" si="33"/>
        <v>30 May,2023</v>
      </c>
    </row>
    <row r="149" spans="1:28" s="22" customFormat="1" ht="55.2" x14ac:dyDescent="0.3">
      <c r="A149" s="41"/>
      <c r="B149" s="43" t="s">
        <v>247</v>
      </c>
      <c r="C149" s="45" t="s">
        <v>280</v>
      </c>
      <c r="D149" s="40">
        <v>3</v>
      </c>
      <c r="E149" s="40">
        <v>3</v>
      </c>
      <c r="F149" s="40">
        <v>3</v>
      </c>
      <c r="G149" s="45">
        <v>9</v>
      </c>
      <c r="H149" s="44" t="s">
        <v>218</v>
      </c>
      <c r="I149" s="44" t="s">
        <v>219</v>
      </c>
      <c r="J149" s="51">
        <v>2</v>
      </c>
      <c r="K149" s="51">
        <v>2</v>
      </c>
      <c r="L149" s="51">
        <f t="shared" si="35"/>
        <v>36</v>
      </c>
      <c r="M149" s="61" t="str">
        <f t="shared" si="34"/>
        <v>Medium</v>
      </c>
      <c r="N149" s="83" t="s">
        <v>299</v>
      </c>
      <c r="O149" s="51">
        <v>1</v>
      </c>
      <c r="P149" s="51">
        <v>1</v>
      </c>
      <c r="Q149" s="53">
        <f t="shared" si="31"/>
        <v>9</v>
      </c>
      <c r="R149" s="62" t="str">
        <f t="shared" ref="R149:R188" si="36">IF(Q149&lt;=20,"Low",IF(Q149&lt;=40,"Medium",IF(Q149&lt;=81,"High")))</f>
        <v>Low</v>
      </c>
      <c r="S149" s="87" t="s">
        <v>388</v>
      </c>
      <c r="T149" s="57" t="s">
        <v>389</v>
      </c>
      <c r="U149" s="55" t="s">
        <v>318</v>
      </c>
      <c r="V149" s="55"/>
      <c r="W149" s="55"/>
      <c r="X149" s="56" t="s">
        <v>317</v>
      </c>
      <c r="Y149" s="56"/>
      <c r="Z149" s="56" t="str">
        <f t="shared" si="32"/>
        <v>Yes</v>
      </c>
      <c r="AA149" s="56" t="str">
        <f t="shared" si="33"/>
        <v>30 May,2023</v>
      </c>
    </row>
    <row r="150" spans="1:28" s="22" customFormat="1" ht="41.4" x14ac:dyDescent="0.3">
      <c r="A150" s="41"/>
      <c r="B150" s="43" t="s">
        <v>247</v>
      </c>
      <c r="C150" s="45" t="s">
        <v>280</v>
      </c>
      <c r="D150" s="40">
        <v>3</v>
      </c>
      <c r="E150" s="40">
        <v>3</v>
      </c>
      <c r="F150" s="40">
        <v>3</v>
      </c>
      <c r="G150" s="45">
        <v>9</v>
      </c>
      <c r="H150" s="44" t="s">
        <v>220</v>
      </c>
      <c r="I150" s="44" t="s">
        <v>221</v>
      </c>
      <c r="J150" s="51">
        <v>2</v>
      </c>
      <c r="K150" s="51">
        <v>2</v>
      </c>
      <c r="L150" s="51">
        <f t="shared" si="35"/>
        <v>36</v>
      </c>
      <c r="M150" s="61" t="str">
        <f t="shared" si="34"/>
        <v>Medium</v>
      </c>
      <c r="N150" s="63" t="s">
        <v>315</v>
      </c>
      <c r="O150" s="51">
        <v>1</v>
      </c>
      <c r="P150" s="51">
        <v>1</v>
      </c>
      <c r="Q150" s="53">
        <f t="shared" si="31"/>
        <v>9</v>
      </c>
      <c r="R150" s="62" t="str">
        <f t="shared" si="36"/>
        <v>Low</v>
      </c>
      <c r="S150" s="81" t="s">
        <v>382</v>
      </c>
      <c r="T150" s="57" t="s">
        <v>223</v>
      </c>
      <c r="U150" s="55" t="s">
        <v>318</v>
      </c>
      <c r="V150" s="55"/>
      <c r="W150" s="55"/>
      <c r="X150" s="56" t="s">
        <v>317</v>
      </c>
      <c r="Y150" s="56"/>
      <c r="Z150" s="56" t="str">
        <f t="shared" si="32"/>
        <v>Yes</v>
      </c>
      <c r="AA150" s="56" t="str">
        <f t="shared" si="33"/>
        <v>30 May,2023</v>
      </c>
    </row>
    <row r="151" spans="1:28" s="22" customFormat="1" ht="124.2" x14ac:dyDescent="0.3">
      <c r="A151" s="41"/>
      <c r="B151" s="43" t="s">
        <v>281</v>
      </c>
      <c r="C151" s="45" t="s">
        <v>282</v>
      </c>
      <c r="D151" s="40">
        <v>3</v>
      </c>
      <c r="E151" s="40">
        <v>3</v>
      </c>
      <c r="F151" s="40">
        <v>3</v>
      </c>
      <c r="G151" s="45">
        <v>9</v>
      </c>
      <c r="H151" s="44" t="s">
        <v>216</v>
      </c>
      <c r="I151" s="39" t="s">
        <v>217</v>
      </c>
      <c r="J151" s="51">
        <v>2</v>
      </c>
      <c r="K151" s="51">
        <v>2</v>
      </c>
      <c r="L151" s="51">
        <f t="shared" si="35"/>
        <v>36</v>
      </c>
      <c r="M151" s="61" t="str">
        <f t="shared" si="34"/>
        <v>Medium</v>
      </c>
      <c r="N151" s="83" t="s">
        <v>386</v>
      </c>
      <c r="O151" s="51">
        <v>1</v>
      </c>
      <c r="P151" s="51">
        <v>1</v>
      </c>
      <c r="Q151" s="53">
        <f t="shared" si="31"/>
        <v>9</v>
      </c>
      <c r="R151" s="62" t="str">
        <f t="shared" si="36"/>
        <v>Low</v>
      </c>
      <c r="S151" s="19" t="s">
        <v>387</v>
      </c>
      <c r="T151" s="57" t="s">
        <v>222</v>
      </c>
      <c r="U151" s="55" t="s">
        <v>318</v>
      </c>
      <c r="V151" s="55"/>
      <c r="W151" s="55"/>
      <c r="X151" s="56" t="s">
        <v>317</v>
      </c>
      <c r="Y151" s="56"/>
      <c r="Z151" s="56" t="str">
        <f t="shared" si="32"/>
        <v>Yes</v>
      </c>
      <c r="AA151" s="56" t="str">
        <f t="shared" si="33"/>
        <v>30 May,2023</v>
      </c>
    </row>
    <row r="152" spans="1:28" s="22" customFormat="1" ht="41.4" x14ac:dyDescent="0.3">
      <c r="A152" s="41"/>
      <c r="B152" s="43" t="s">
        <v>283</v>
      </c>
      <c r="C152" s="45" t="s">
        <v>284</v>
      </c>
      <c r="D152" s="40">
        <v>2</v>
      </c>
      <c r="E152" s="40">
        <v>2</v>
      </c>
      <c r="F152" s="40">
        <v>2</v>
      </c>
      <c r="G152" s="45">
        <v>6</v>
      </c>
      <c r="H152" s="44" t="s">
        <v>220</v>
      </c>
      <c r="I152" s="44" t="s">
        <v>221</v>
      </c>
      <c r="J152" s="51">
        <v>2</v>
      </c>
      <c r="K152" s="51">
        <v>2</v>
      </c>
      <c r="L152" s="51">
        <f t="shared" si="35"/>
        <v>24</v>
      </c>
      <c r="M152" s="61" t="str">
        <f t="shared" si="34"/>
        <v>Medium</v>
      </c>
      <c r="N152" s="63" t="s">
        <v>315</v>
      </c>
      <c r="O152" s="51">
        <v>1</v>
      </c>
      <c r="P152" s="51">
        <v>1</v>
      </c>
      <c r="Q152" s="53">
        <f t="shared" si="31"/>
        <v>6</v>
      </c>
      <c r="R152" s="62" t="str">
        <f t="shared" si="36"/>
        <v>Low</v>
      </c>
      <c r="S152" s="81" t="s">
        <v>382</v>
      </c>
      <c r="T152" s="57" t="s">
        <v>223</v>
      </c>
      <c r="U152" s="55" t="s">
        <v>318</v>
      </c>
      <c r="V152" s="55"/>
      <c r="W152" s="55"/>
      <c r="X152" s="56" t="s">
        <v>317</v>
      </c>
      <c r="Y152" s="56"/>
      <c r="Z152" s="56" t="str">
        <f t="shared" si="32"/>
        <v>Yes</v>
      </c>
      <c r="AA152" s="56" t="str">
        <f t="shared" si="33"/>
        <v>30 May,2023</v>
      </c>
    </row>
    <row r="153" spans="1:28" s="26" customFormat="1" ht="124.2" x14ac:dyDescent="0.3">
      <c r="A153" s="41"/>
      <c r="B153" s="43" t="s">
        <v>285</v>
      </c>
      <c r="C153" s="45" t="s">
        <v>286</v>
      </c>
      <c r="D153" s="40">
        <v>2</v>
      </c>
      <c r="E153" s="40">
        <v>2</v>
      </c>
      <c r="F153" s="40">
        <v>2</v>
      </c>
      <c r="G153" s="45">
        <v>6</v>
      </c>
      <c r="H153" s="44" t="s">
        <v>216</v>
      </c>
      <c r="I153" s="39" t="s">
        <v>217</v>
      </c>
      <c r="J153" s="51">
        <v>2</v>
      </c>
      <c r="K153" s="51">
        <v>2</v>
      </c>
      <c r="L153" s="51">
        <f t="shared" si="35"/>
        <v>24</v>
      </c>
      <c r="M153" s="61" t="str">
        <f t="shared" si="34"/>
        <v>Medium</v>
      </c>
      <c r="N153" s="83" t="s">
        <v>386</v>
      </c>
      <c r="O153" s="51">
        <v>1</v>
      </c>
      <c r="P153" s="51">
        <v>1</v>
      </c>
      <c r="Q153" s="53">
        <f t="shared" si="31"/>
        <v>6</v>
      </c>
      <c r="R153" s="62" t="str">
        <f t="shared" si="36"/>
        <v>Low</v>
      </c>
      <c r="S153" s="19" t="s">
        <v>387</v>
      </c>
      <c r="T153" s="57" t="s">
        <v>222</v>
      </c>
      <c r="U153" s="55" t="s">
        <v>318</v>
      </c>
      <c r="V153" s="55"/>
      <c r="W153" s="55"/>
      <c r="X153" s="56" t="s">
        <v>317</v>
      </c>
      <c r="Y153" s="56"/>
      <c r="Z153" s="56" t="str">
        <f t="shared" si="32"/>
        <v>Yes</v>
      </c>
      <c r="AA153" s="56" t="str">
        <f t="shared" si="33"/>
        <v>30 May,2023</v>
      </c>
    </row>
    <row r="154" spans="1:28" s="26" customFormat="1" ht="41.4" x14ac:dyDescent="0.3">
      <c r="A154" s="41"/>
      <c r="B154" s="43" t="s">
        <v>288</v>
      </c>
      <c r="C154" s="45" t="s">
        <v>287</v>
      </c>
      <c r="D154" s="40">
        <v>3</v>
      </c>
      <c r="E154" s="40">
        <v>3</v>
      </c>
      <c r="F154" s="40">
        <v>3</v>
      </c>
      <c r="G154" s="45">
        <v>9</v>
      </c>
      <c r="H154" s="44" t="s">
        <v>220</v>
      </c>
      <c r="I154" s="44" t="s">
        <v>221</v>
      </c>
      <c r="J154" s="51">
        <v>2</v>
      </c>
      <c r="K154" s="51">
        <v>2</v>
      </c>
      <c r="L154" s="51">
        <f t="shared" si="35"/>
        <v>36</v>
      </c>
      <c r="M154" s="61" t="str">
        <f t="shared" si="34"/>
        <v>Medium</v>
      </c>
      <c r="N154" s="63" t="s">
        <v>315</v>
      </c>
      <c r="O154" s="51">
        <v>1</v>
      </c>
      <c r="P154" s="51">
        <v>1</v>
      </c>
      <c r="Q154" s="53">
        <f t="shared" si="31"/>
        <v>9</v>
      </c>
      <c r="R154" s="62" t="str">
        <f t="shared" si="36"/>
        <v>Low</v>
      </c>
      <c r="S154" s="81" t="s">
        <v>382</v>
      </c>
      <c r="T154" s="57" t="s">
        <v>223</v>
      </c>
      <c r="U154" s="55" t="s">
        <v>318</v>
      </c>
      <c r="V154" s="55"/>
      <c r="W154" s="55"/>
      <c r="X154" s="56" t="s">
        <v>317</v>
      </c>
      <c r="Y154" s="56"/>
      <c r="Z154" s="56" t="str">
        <f t="shared" si="32"/>
        <v>Yes</v>
      </c>
      <c r="AA154" s="56" t="str">
        <f t="shared" si="33"/>
        <v>30 May,2023</v>
      </c>
    </row>
    <row r="155" spans="1:28" s="26" customFormat="1" ht="124.2" x14ac:dyDescent="0.3">
      <c r="A155" s="42"/>
      <c r="B155" s="43" t="s">
        <v>289</v>
      </c>
      <c r="C155" s="45" t="s">
        <v>290</v>
      </c>
      <c r="D155" s="40">
        <v>3</v>
      </c>
      <c r="E155" s="40">
        <v>3</v>
      </c>
      <c r="F155" s="40">
        <v>3</v>
      </c>
      <c r="G155" s="45">
        <v>9</v>
      </c>
      <c r="H155" s="44" t="s">
        <v>216</v>
      </c>
      <c r="I155" s="44" t="s">
        <v>217</v>
      </c>
      <c r="J155" s="51">
        <v>2</v>
      </c>
      <c r="K155" s="51">
        <v>2</v>
      </c>
      <c r="L155" s="51">
        <f t="shared" si="35"/>
        <v>36</v>
      </c>
      <c r="M155" s="61" t="str">
        <f t="shared" si="34"/>
        <v>Medium</v>
      </c>
      <c r="N155" s="83" t="s">
        <v>386</v>
      </c>
      <c r="O155" s="51">
        <v>1</v>
      </c>
      <c r="P155" s="51">
        <v>1</v>
      </c>
      <c r="Q155" s="53">
        <f t="shared" si="31"/>
        <v>9</v>
      </c>
      <c r="R155" s="62" t="str">
        <f t="shared" si="36"/>
        <v>Low</v>
      </c>
      <c r="S155" s="19" t="s">
        <v>387</v>
      </c>
      <c r="T155" s="57" t="s">
        <v>222</v>
      </c>
      <c r="U155" s="55" t="s">
        <v>318</v>
      </c>
      <c r="V155" s="55"/>
      <c r="W155" s="55"/>
      <c r="X155" s="56" t="s">
        <v>317</v>
      </c>
      <c r="Y155" s="56"/>
      <c r="Z155" s="56" t="str">
        <f t="shared" si="32"/>
        <v>Yes</v>
      </c>
      <c r="AA155" s="56" t="str">
        <f t="shared" si="33"/>
        <v>30 May,2023</v>
      </c>
    </row>
    <row r="156" spans="1:28" s="22" customFormat="1" ht="55.2" x14ac:dyDescent="0.3">
      <c r="A156" s="42"/>
      <c r="B156" s="43" t="s">
        <v>289</v>
      </c>
      <c r="C156" s="45" t="s">
        <v>290</v>
      </c>
      <c r="D156" s="40">
        <v>3</v>
      </c>
      <c r="E156" s="40">
        <v>3</v>
      </c>
      <c r="F156" s="40">
        <v>3</v>
      </c>
      <c r="G156" s="45">
        <v>9</v>
      </c>
      <c r="H156" s="44" t="s">
        <v>218</v>
      </c>
      <c r="I156" s="44" t="s">
        <v>219</v>
      </c>
      <c r="J156" s="51">
        <v>2</v>
      </c>
      <c r="K156" s="51">
        <v>2</v>
      </c>
      <c r="L156" s="51">
        <f t="shared" si="35"/>
        <v>36</v>
      </c>
      <c r="M156" s="61" t="str">
        <f t="shared" si="34"/>
        <v>Medium</v>
      </c>
      <c r="N156" s="83" t="s">
        <v>299</v>
      </c>
      <c r="O156" s="51">
        <v>1</v>
      </c>
      <c r="P156" s="51">
        <v>1</v>
      </c>
      <c r="Q156" s="53">
        <f t="shared" si="31"/>
        <v>9</v>
      </c>
      <c r="R156" s="62" t="str">
        <f t="shared" si="36"/>
        <v>Low</v>
      </c>
      <c r="S156" s="87" t="s">
        <v>388</v>
      </c>
      <c r="T156" s="57" t="s">
        <v>389</v>
      </c>
      <c r="U156" s="55" t="s">
        <v>318</v>
      </c>
      <c r="V156" s="55"/>
      <c r="W156" s="55"/>
      <c r="X156" s="56" t="s">
        <v>317</v>
      </c>
      <c r="Y156" s="56"/>
      <c r="Z156" s="56" t="str">
        <f t="shared" si="32"/>
        <v>Yes</v>
      </c>
      <c r="AA156" s="56" t="str">
        <f t="shared" si="33"/>
        <v>30 May,2023</v>
      </c>
    </row>
    <row r="157" spans="1:28" s="22" customFormat="1" ht="41.4" x14ac:dyDescent="0.3">
      <c r="A157" s="42"/>
      <c r="B157" s="43" t="s">
        <v>289</v>
      </c>
      <c r="C157" s="45" t="s">
        <v>290</v>
      </c>
      <c r="D157" s="40">
        <v>3</v>
      </c>
      <c r="E157" s="40">
        <v>3</v>
      </c>
      <c r="F157" s="40">
        <v>3</v>
      </c>
      <c r="G157" s="45">
        <v>9</v>
      </c>
      <c r="H157" s="44" t="s">
        <v>220</v>
      </c>
      <c r="I157" s="44" t="s">
        <v>221</v>
      </c>
      <c r="J157" s="51">
        <v>2</v>
      </c>
      <c r="K157" s="51">
        <v>2</v>
      </c>
      <c r="L157" s="51">
        <f t="shared" si="35"/>
        <v>36</v>
      </c>
      <c r="M157" s="61" t="str">
        <f t="shared" si="34"/>
        <v>Medium</v>
      </c>
      <c r="N157" s="63" t="s">
        <v>315</v>
      </c>
      <c r="O157" s="51">
        <v>1</v>
      </c>
      <c r="P157" s="51">
        <v>1</v>
      </c>
      <c r="Q157" s="53">
        <f t="shared" si="31"/>
        <v>9</v>
      </c>
      <c r="R157" s="62" t="str">
        <f t="shared" si="36"/>
        <v>Low</v>
      </c>
      <c r="S157" s="81" t="s">
        <v>382</v>
      </c>
      <c r="T157" s="57" t="s">
        <v>223</v>
      </c>
      <c r="U157" s="55" t="s">
        <v>318</v>
      </c>
      <c r="V157" s="55"/>
      <c r="W157" s="55"/>
      <c r="X157" s="56" t="s">
        <v>317</v>
      </c>
      <c r="Y157" s="56"/>
      <c r="Z157" s="56" t="str">
        <f t="shared" si="32"/>
        <v>Yes</v>
      </c>
      <c r="AA157" s="56" t="str">
        <f t="shared" si="33"/>
        <v>30 May,2023</v>
      </c>
    </row>
    <row r="158" spans="1:28" s="22" customFormat="1" ht="55.2" x14ac:dyDescent="0.3">
      <c r="A158" s="20"/>
      <c r="B158" s="43" t="s">
        <v>308</v>
      </c>
      <c r="C158" s="45" t="s">
        <v>309</v>
      </c>
      <c r="D158" s="40">
        <v>2</v>
      </c>
      <c r="E158" s="40">
        <v>2</v>
      </c>
      <c r="F158" s="40">
        <v>2</v>
      </c>
      <c r="G158" s="45">
        <v>6</v>
      </c>
      <c r="H158" s="54" t="s">
        <v>218</v>
      </c>
      <c r="I158" s="54" t="s">
        <v>219</v>
      </c>
      <c r="J158" s="51">
        <v>2</v>
      </c>
      <c r="K158" s="51">
        <v>2</v>
      </c>
      <c r="L158" s="51">
        <f t="shared" si="35"/>
        <v>24</v>
      </c>
      <c r="M158" s="61" t="str">
        <f t="shared" si="34"/>
        <v>Medium</v>
      </c>
      <c r="N158" s="83" t="s">
        <v>299</v>
      </c>
      <c r="O158" s="51">
        <v>1</v>
      </c>
      <c r="P158" s="51">
        <v>1</v>
      </c>
      <c r="Q158" s="53">
        <f t="shared" si="31"/>
        <v>6</v>
      </c>
      <c r="R158" s="62" t="str">
        <f t="shared" si="36"/>
        <v>Low</v>
      </c>
      <c r="S158" s="87" t="s">
        <v>388</v>
      </c>
      <c r="T158" s="57" t="s">
        <v>389</v>
      </c>
      <c r="U158" s="55" t="s">
        <v>318</v>
      </c>
      <c r="V158" s="55"/>
      <c r="W158" s="55"/>
      <c r="X158" s="56" t="s">
        <v>317</v>
      </c>
      <c r="Y158" s="56"/>
      <c r="Z158" s="56" t="str">
        <f t="shared" si="32"/>
        <v>Yes</v>
      </c>
      <c r="AA158" s="56" t="str">
        <f t="shared" si="33"/>
        <v>30 May,2023</v>
      </c>
    </row>
    <row r="159" spans="1:28" s="22" customFormat="1" ht="145.19999999999999" x14ac:dyDescent="0.3">
      <c r="A159" s="20"/>
      <c r="B159" s="43" t="s">
        <v>308</v>
      </c>
      <c r="C159" s="45" t="s">
        <v>309</v>
      </c>
      <c r="D159" s="40">
        <v>2</v>
      </c>
      <c r="E159" s="40">
        <v>2</v>
      </c>
      <c r="F159" s="40">
        <v>2</v>
      </c>
      <c r="G159" s="45">
        <v>6</v>
      </c>
      <c r="H159" s="54" t="s">
        <v>226</v>
      </c>
      <c r="I159" s="54" t="s">
        <v>215</v>
      </c>
      <c r="J159" s="51">
        <v>2</v>
      </c>
      <c r="K159" s="51">
        <v>2</v>
      </c>
      <c r="L159" s="51">
        <f t="shared" si="35"/>
        <v>24</v>
      </c>
      <c r="M159" s="61" t="str">
        <f t="shared" si="34"/>
        <v>Medium</v>
      </c>
      <c r="N159" s="63" t="s">
        <v>316</v>
      </c>
      <c r="O159" s="51">
        <v>1</v>
      </c>
      <c r="P159" s="51">
        <v>1</v>
      </c>
      <c r="Q159" s="53">
        <f t="shared" si="31"/>
        <v>6</v>
      </c>
      <c r="R159" s="62" t="str">
        <f t="shared" si="36"/>
        <v>Low</v>
      </c>
      <c r="S159" s="19" t="s">
        <v>394</v>
      </c>
      <c r="T159" s="80" t="s">
        <v>312</v>
      </c>
      <c r="U159" s="55" t="s">
        <v>318</v>
      </c>
      <c r="V159" s="55"/>
      <c r="W159" s="55"/>
      <c r="X159" s="56" t="s">
        <v>317</v>
      </c>
      <c r="Y159" s="56"/>
      <c r="Z159" s="56" t="str">
        <f t="shared" si="32"/>
        <v>Yes</v>
      </c>
      <c r="AA159" s="56" t="str">
        <f t="shared" si="33"/>
        <v>30 May,2023</v>
      </c>
    </row>
    <row r="160" spans="1:28" s="79" customFormat="1" ht="82.8" x14ac:dyDescent="0.3">
      <c r="A160" s="58"/>
      <c r="B160" s="58" t="s">
        <v>90</v>
      </c>
      <c r="C160" s="40" t="s">
        <v>150</v>
      </c>
      <c r="D160" s="40">
        <v>3</v>
      </c>
      <c r="E160" s="40">
        <v>3</v>
      </c>
      <c r="F160" s="40">
        <v>3</v>
      </c>
      <c r="G160" s="40">
        <v>9</v>
      </c>
      <c r="H160" s="44" t="s">
        <v>42</v>
      </c>
      <c r="I160" s="44" t="s">
        <v>414</v>
      </c>
      <c r="J160" s="51">
        <v>3</v>
      </c>
      <c r="K160" s="51">
        <v>3</v>
      </c>
      <c r="L160" s="51">
        <f t="shared" si="35"/>
        <v>81</v>
      </c>
      <c r="M160" s="60" t="str">
        <f t="shared" ref="M160:M201" si="37">IF(L160&lt;=20,"Low",IF(L160&lt;=40,"Medium",IF(L160&lt;=81,"High")))</f>
        <v>High</v>
      </c>
      <c r="N160" s="83" t="s">
        <v>385</v>
      </c>
      <c r="O160" s="51">
        <v>2</v>
      </c>
      <c r="P160" s="51">
        <v>1</v>
      </c>
      <c r="Q160" s="51">
        <f t="shared" si="31"/>
        <v>18</v>
      </c>
      <c r="R160" s="62" t="str">
        <f t="shared" si="36"/>
        <v>Low</v>
      </c>
      <c r="S160" s="19" t="s">
        <v>384</v>
      </c>
      <c r="T160" s="57" t="s">
        <v>213</v>
      </c>
      <c r="U160" s="55" t="s">
        <v>318</v>
      </c>
      <c r="V160" s="74"/>
      <c r="W160" s="74"/>
      <c r="X160" s="55" t="s">
        <v>291</v>
      </c>
      <c r="Y160" s="74"/>
      <c r="Z160" s="56" t="str">
        <f t="shared" si="32"/>
        <v>Yes</v>
      </c>
      <c r="AA160" s="56" t="str">
        <f t="shared" si="33"/>
        <v>30 May,2023</v>
      </c>
      <c r="AB160" s="74"/>
    </row>
    <row r="161" spans="1:28" s="22" customFormat="1" ht="69" x14ac:dyDescent="0.3">
      <c r="A161" s="42"/>
      <c r="B161" s="58" t="s">
        <v>90</v>
      </c>
      <c r="C161" s="40" t="s">
        <v>150</v>
      </c>
      <c r="D161" s="40">
        <v>3</v>
      </c>
      <c r="E161" s="40">
        <v>3</v>
      </c>
      <c r="F161" s="45">
        <v>3</v>
      </c>
      <c r="G161" s="45">
        <v>9</v>
      </c>
      <c r="H161" s="44" t="s">
        <v>216</v>
      </c>
      <c r="I161" s="44" t="s">
        <v>217</v>
      </c>
      <c r="J161" s="51">
        <v>3</v>
      </c>
      <c r="K161" s="51">
        <v>3</v>
      </c>
      <c r="L161" s="51">
        <f t="shared" si="35"/>
        <v>81</v>
      </c>
      <c r="M161" s="60" t="str">
        <f t="shared" si="37"/>
        <v>High</v>
      </c>
      <c r="N161" s="83" t="s">
        <v>386</v>
      </c>
      <c r="O161" s="51">
        <v>1</v>
      </c>
      <c r="P161" s="51">
        <v>2</v>
      </c>
      <c r="Q161" s="53">
        <f t="shared" si="31"/>
        <v>18</v>
      </c>
      <c r="R161" s="62" t="str">
        <f t="shared" si="36"/>
        <v>Low</v>
      </c>
      <c r="S161" s="19" t="s">
        <v>422</v>
      </c>
      <c r="T161" s="57" t="s">
        <v>423</v>
      </c>
      <c r="U161" s="55" t="s">
        <v>318</v>
      </c>
      <c r="V161" s="55"/>
      <c r="W161" s="55"/>
      <c r="X161" s="55" t="s">
        <v>291</v>
      </c>
      <c r="Y161" s="55"/>
      <c r="Z161" s="56" t="str">
        <f t="shared" si="32"/>
        <v>Yes</v>
      </c>
      <c r="AA161" s="56" t="str">
        <f t="shared" si="33"/>
        <v>30 May,2023</v>
      </c>
    </row>
    <row r="162" spans="1:28" s="22" customFormat="1" ht="41.4" x14ac:dyDescent="0.3">
      <c r="A162" s="42"/>
      <c r="B162" s="58" t="s">
        <v>90</v>
      </c>
      <c r="C162" s="40" t="s">
        <v>150</v>
      </c>
      <c r="D162" s="40">
        <v>3</v>
      </c>
      <c r="E162" s="40">
        <v>3</v>
      </c>
      <c r="F162" s="45">
        <v>3</v>
      </c>
      <c r="G162" s="45">
        <v>9</v>
      </c>
      <c r="H162" s="44" t="s">
        <v>220</v>
      </c>
      <c r="I162" s="44" t="s">
        <v>221</v>
      </c>
      <c r="J162" s="51">
        <v>2</v>
      </c>
      <c r="K162" s="51">
        <v>3</v>
      </c>
      <c r="L162" s="51">
        <f t="shared" si="35"/>
        <v>54</v>
      </c>
      <c r="M162" s="60" t="str">
        <f t="shared" si="37"/>
        <v>High</v>
      </c>
      <c r="N162" s="63" t="s">
        <v>421</v>
      </c>
      <c r="O162" s="51">
        <v>1</v>
      </c>
      <c r="P162" s="51">
        <v>2</v>
      </c>
      <c r="Q162" s="53">
        <f t="shared" si="31"/>
        <v>18</v>
      </c>
      <c r="R162" s="62" t="str">
        <f t="shared" si="36"/>
        <v>Low</v>
      </c>
      <c r="S162" s="81" t="s">
        <v>420</v>
      </c>
      <c r="T162" s="57" t="s">
        <v>419</v>
      </c>
      <c r="U162" s="55" t="s">
        <v>318</v>
      </c>
      <c r="V162" s="55"/>
      <c r="W162" s="55"/>
      <c r="X162" s="55" t="s">
        <v>291</v>
      </c>
      <c r="Y162" s="55"/>
      <c r="Z162" s="56" t="str">
        <f t="shared" si="32"/>
        <v>Yes</v>
      </c>
      <c r="AA162" s="56" t="str">
        <f t="shared" si="33"/>
        <v>30 May,2023</v>
      </c>
    </row>
    <row r="163" spans="1:28" s="22" customFormat="1" ht="147" customHeight="1" x14ac:dyDescent="0.3">
      <c r="A163" s="41"/>
      <c r="B163" s="44" t="s">
        <v>165</v>
      </c>
      <c r="C163" s="40" t="s">
        <v>186</v>
      </c>
      <c r="D163" s="40">
        <v>3</v>
      </c>
      <c r="E163" s="40">
        <v>3</v>
      </c>
      <c r="F163" s="45">
        <v>3</v>
      </c>
      <c r="G163" s="45">
        <v>9</v>
      </c>
      <c r="H163" s="44" t="s">
        <v>300</v>
      </c>
      <c r="I163" s="42" t="s">
        <v>206</v>
      </c>
      <c r="J163" s="51">
        <v>2</v>
      </c>
      <c r="K163" s="51">
        <v>3</v>
      </c>
      <c r="L163" s="51">
        <f t="shared" si="35"/>
        <v>54</v>
      </c>
      <c r="M163" s="60" t="str">
        <f t="shared" si="37"/>
        <v>High</v>
      </c>
      <c r="N163" s="85" t="s">
        <v>311</v>
      </c>
      <c r="O163" s="51">
        <v>1</v>
      </c>
      <c r="P163" s="51">
        <v>2</v>
      </c>
      <c r="Q163" s="53">
        <f t="shared" si="31"/>
        <v>18</v>
      </c>
      <c r="R163" s="62" t="str">
        <f t="shared" si="36"/>
        <v>Low</v>
      </c>
      <c r="S163" s="87" t="s">
        <v>390</v>
      </c>
      <c r="T163" s="89" t="s">
        <v>312</v>
      </c>
      <c r="U163" s="55" t="s">
        <v>318</v>
      </c>
      <c r="V163" s="55"/>
      <c r="W163" s="55"/>
      <c r="X163" s="55" t="s">
        <v>293</v>
      </c>
      <c r="Y163" s="55"/>
      <c r="Z163" s="56" t="str">
        <f t="shared" si="32"/>
        <v>Yes</v>
      </c>
      <c r="AA163" s="56" t="str">
        <f t="shared" si="33"/>
        <v>30 May,2023</v>
      </c>
    </row>
    <row r="164" spans="1:28" s="79" customFormat="1" ht="147" customHeight="1" x14ac:dyDescent="0.3">
      <c r="A164" s="44"/>
      <c r="B164" s="45" t="s">
        <v>168</v>
      </c>
      <c r="C164" s="45" t="s">
        <v>189</v>
      </c>
      <c r="D164" s="45">
        <v>3</v>
      </c>
      <c r="E164" s="45">
        <v>3</v>
      </c>
      <c r="F164" s="45">
        <v>3</v>
      </c>
      <c r="G164" s="45">
        <v>9</v>
      </c>
      <c r="H164" s="44" t="s">
        <v>300</v>
      </c>
      <c r="I164" s="44" t="s">
        <v>413</v>
      </c>
      <c r="J164" s="51">
        <v>2</v>
      </c>
      <c r="K164" s="51">
        <v>3</v>
      </c>
      <c r="L164" s="51">
        <f t="shared" ref="L164:L173" si="38">K164*J164*G164</f>
        <v>54</v>
      </c>
      <c r="M164" s="60" t="str">
        <f t="shared" si="37"/>
        <v>High</v>
      </c>
      <c r="N164" s="86" t="s">
        <v>311</v>
      </c>
      <c r="O164" s="78">
        <v>2</v>
      </c>
      <c r="P164" s="78">
        <v>1</v>
      </c>
      <c r="Q164" s="61">
        <f t="shared" si="31"/>
        <v>18</v>
      </c>
      <c r="R164" s="62" t="str">
        <f t="shared" si="36"/>
        <v>Low</v>
      </c>
      <c r="S164" s="87" t="s">
        <v>412</v>
      </c>
      <c r="T164" s="87" t="s">
        <v>312</v>
      </c>
      <c r="U164" s="55" t="s">
        <v>318</v>
      </c>
      <c r="V164" s="55"/>
      <c r="W164" s="55"/>
      <c r="X164" s="55" t="s">
        <v>293</v>
      </c>
      <c r="Y164" s="55"/>
      <c r="Z164" s="56" t="str">
        <f t="shared" si="32"/>
        <v>Yes</v>
      </c>
      <c r="AA164" s="56" t="str">
        <f t="shared" si="33"/>
        <v>30 May,2023</v>
      </c>
      <c r="AB164" s="22"/>
    </row>
    <row r="165" spans="1:28" s="22" customFormat="1" ht="143.25" customHeight="1" x14ac:dyDescent="0.3">
      <c r="A165" s="42"/>
      <c r="B165" s="44" t="s">
        <v>170</v>
      </c>
      <c r="C165" s="40" t="s">
        <v>191</v>
      </c>
      <c r="D165" s="40">
        <v>3</v>
      </c>
      <c r="E165" s="40">
        <v>3</v>
      </c>
      <c r="F165" s="45">
        <v>3</v>
      </c>
      <c r="G165" s="45">
        <v>9</v>
      </c>
      <c r="H165" s="44" t="s">
        <v>300</v>
      </c>
      <c r="I165" s="42" t="s">
        <v>206</v>
      </c>
      <c r="J165" s="51">
        <v>2</v>
      </c>
      <c r="K165" s="51">
        <v>3</v>
      </c>
      <c r="L165" s="51">
        <f t="shared" si="38"/>
        <v>54</v>
      </c>
      <c r="M165" s="60" t="str">
        <f t="shared" si="37"/>
        <v>High</v>
      </c>
      <c r="N165" s="85" t="s">
        <v>311</v>
      </c>
      <c r="O165" s="51">
        <v>1</v>
      </c>
      <c r="P165" s="51">
        <v>2</v>
      </c>
      <c r="Q165" s="53">
        <f t="shared" si="31"/>
        <v>18</v>
      </c>
      <c r="R165" s="62" t="str">
        <f t="shared" si="36"/>
        <v>Low</v>
      </c>
      <c r="S165" s="87" t="s">
        <v>390</v>
      </c>
      <c r="T165" s="89" t="s">
        <v>312</v>
      </c>
      <c r="U165" s="55" t="s">
        <v>318</v>
      </c>
      <c r="V165" s="55"/>
      <c r="W165" s="55"/>
      <c r="X165" s="55" t="s">
        <v>293</v>
      </c>
      <c r="Y165" s="55"/>
      <c r="Z165" s="56" t="str">
        <f t="shared" si="32"/>
        <v>Yes</v>
      </c>
      <c r="AA165" s="56" t="str">
        <f t="shared" si="33"/>
        <v>30 May,2023</v>
      </c>
    </row>
    <row r="166" spans="1:28" s="22" customFormat="1" ht="141" customHeight="1" x14ac:dyDescent="0.3">
      <c r="A166" s="41"/>
      <c r="B166" s="43" t="s">
        <v>231</v>
      </c>
      <c r="C166" s="45" t="s">
        <v>232</v>
      </c>
      <c r="D166" s="40">
        <v>3</v>
      </c>
      <c r="E166" s="40">
        <v>3</v>
      </c>
      <c r="F166" s="45">
        <v>3</v>
      </c>
      <c r="G166" s="45">
        <v>9</v>
      </c>
      <c r="H166" s="59" t="s">
        <v>220</v>
      </c>
      <c r="I166" s="59" t="s">
        <v>221</v>
      </c>
      <c r="J166" s="51">
        <v>2</v>
      </c>
      <c r="K166" s="51">
        <v>3</v>
      </c>
      <c r="L166" s="51">
        <f t="shared" si="38"/>
        <v>54</v>
      </c>
      <c r="M166" s="60" t="str">
        <f t="shared" si="37"/>
        <v>High</v>
      </c>
      <c r="N166" s="63" t="s">
        <v>315</v>
      </c>
      <c r="O166" s="51">
        <v>1</v>
      </c>
      <c r="P166" s="51">
        <v>2</v>
      </c>
      <c r="Q166" s="53">
        <f t="shared" si="31"/>
        <v>18</v>
      </c>
      <c r="R166" s="62" t="str">
        <f t="shared" si="36"/>
        <v>Low</v>
      </c>
      <c r="S166" s="81" t="s">
        <v>420</v>
      </c>
      <c r="T166" s="57" t="s">
        <v>419</v>
      </c>
      <c r="U166" s="55" t="s">
        <v>318</v>
      </c>
      <c r="V166" s="55"/>
      <c r="W166" s="55"/>
      <c r="X166" s="56" t="s">
        <v>317</v>
      </c>
      <c r="Y166" s="56"/>
      <c r="Z166" s="56" t="str">
        <f t="shared" si="32"/>
        <v>Yes</v>
      </c>
      <c r="AA166" s="56" t="str">
        <f t="shared" si="33"/>
        <v>30 May,2023</v>
      </c>
    </row>
    <row r="167" spans="1:28" s="22" customFormat="1" ht="144.75" customHeight="1" x14ac:dyDescent="0.3">
      <c r="A167" s="41"/>
      <c r="B167" s="43" t="s">
        <v>231</v>
      </c>
      <c r="C167" s="45" t="s">
        <v>232</v>
      </c>
      <c r="D167" s="40">
        <v>3</v>
      </c>
      <c r="E167" s="40">
        <v>3</v>
      </c>
      <c r="F167" s="45">
        <v>3</v>
      </c>
      <c r="G167" s="45">
        <v>9</v>
      </c>
      <c r="H167" s="44" t="s">
        <v>300</v>
      </c>
      <c r="I167" s="59" t="s">
        <v>206</v>
      </c>
      <c r="J167" s="51">
        <v>2</v>
      </c>
      <c r="K167" s="51">
        <v>3</v>
      </c>
      <c r="L167" s="51">
        <f t="shared" si="38"/>
        <v>54</v>
      </c>
      <c r="M167" s="60" t="str">
        <f t="shared" si="37"/>
        <v>High</v>
      </c>
      <c r="N167" s="85" t="s">
        <v>311</v>
      </c>
      <c r="O167" s="51">
        <v>1</v>
      </c>
      <c r="P167" s="51">
        <v>2</v>
      </c>
      <c r="Q167" s="53">
        <f t="shared" si="31"/>
        <v>18</v>
      </c>
      <c r="R167" s="62" t="str">
        <f t="shared" si="36"/>
        <v>Low</v>
      </c>
      <c r="S167" s="87" t="s">
        <v>390</v>
      </c>
      <c r="T167" s="89" t="s">
        <v>312</v>
      </c>
      <c r="U167" s="55" t="s">
        <v>318</v>
      </c>
      <c r="V167" s="55"/>
      <c r="W167" s="55"/>
      <c r="X167" s="56" t="s">
        <v>317</v>
      </c>
      <c r="Y167" s="56"/>
      <c r="Z167" s="56" t="str">
        <f t="shared" si="32"/>
        <v>Yes</v>
      </c>
      <c r="AA167" s="56" t="str">
        <f t="shared" si="33"/>
        <v>30 May,2023</v>
      </c>
    </row>
    <row r="168" spans="1:28" s="22" customFormat="1" ht="151.80000000000001" x14ac:dyDescent="0.3">
      <c r="A168" s="41"/>
      <c r="B168" s="43" t="s">
        <v>231</v>
      </c>
      <c r="C168" s="45" t="s">
        <v>232</v>
      </c>
      <c r="D168" s="40">
        <v>3</v>
      </c>
      <c r="E168" s="40">
        <v>3</v>
      </c>
      <c r="F168" s="45">
        <v>3</v>
      </c>
      <c r="G168" s="45">
        <v>9</v>
      </c>
      <c r="H168" s="42" t="s">
        <v>428</v>
      </c>
      <c r="I168" s="42" t="s">
        <v>205</v>
      </c>
      <c r="J168" s="51">
        <v>2</v>
      </c>
      <c r="K168" s="51">
        <v>3</v>
      </c>
      <c r="L168" s="51">
        <f t="shared" si="38"/>
        <v>54</v>
      </c>
      <c r="M168" s="60" t="str">
        <f t="shared" si="37"/>
        <v>High</v>
      </c>
      <c r="N168" s="82" t="s">
        <v>395</v>
      </c>
      <c r="O168" s="51">
        <v>1</v>
      </c>
      <c r="P168" s="51">
        <v>2</v>
      </c>
      <c r="Q168" s="53">
        <f t="shared" si="31"/>
        <v>18</v>
      </c>
      <c r="R168" s="62" t="str">
        <f>IF(Q168&lt;=20,"Low",IF(Q168&lt;=40,"Medium",IF(Q168&lt;=81,"High")))</f>
        <v>Low</v>
      </c>
      <c r="S168" s="81" t="s">
        <v>424</v>
      </c>
      <c r="T168" s="57" t="s">
        <v>212</v>
      </c>
      <c r="U168" s="55" t="s">
        <v>318</v>
      </c>
      <c r="V168" s="55"/>
      <c r="W168" s="55"/>
      <c r="X168" s="56" t="s">
        <v>317</v>
      </c>
      <c r="Y168" s="56"/>
      <c r="Z168" s="56" t="str">
        <f t="shared" si="32"/>
        <v>Yes</v>
      </c>
      <c r="AA168" s="56" t="str">
        <f t="shared" si="33"/>
        <v>30 May,2023</v>
      </c>
    </row>
    <row r="169" spans="1:28" s="22" customFormat="1" ht="114" customHeight="1" x14ac:dyDescent="0.3">
      <c r="A169" s="41"/>
      <c r="B169" s="43" t="s">
        <v>242</v>
      </c>
      <c r="C169" s="45" t="s">
        <v>238</v>
      </c>
      <c r="D169" s="40">
        <v>3</v>
      </c>
      <c r="E169" s="40">
        <v>3</v>
      </c>
      <c r="F169" s="45">
        <v>3</v>
      </c>
      <c r="G169" s="45">
        <v>9</v>
      </c>
      <c r="H169" s="59" t="s">
        <v>220</v>
      </c>
      <c r="I169" s="59" t="s">
        <v>221</v>
      </c>
      <c r="J169" s="51">
        <v>2</v>
      </c>
      <c r="K169" s="51">
        <v>3</v>
      </c>
      <c r="L169" s="51">
        <f t="shared" si="38"/>
        <v>54</v>
      </c>
      <c r="M169" s="60" t="str">
        <f t="shared" si="37"/>
        <v>High</v>
      </c>
      <c r="N169" s="63" t="s">
        <v>315</v>
      </c>
      <c r="O169" s="51">
        <v>1</v>
      </c>
      <c r="P169" s="51">
        <v>2</v>
      </c>
      <c r="Q169" s="53">
        <f t="shared" si="31"/>
        <v>18</v>
      </c>
      <c r="R169" s="62" t="str">
        <f t="shared" si="36"/>
        <v>Low</v>
      </c>
      <c r="S169" s="81" t="s">
        <v>420</v>
      </c>
      <c r="T169" s="57" t="s">
        <v>419</v>
      </c>
      <c r="U169" s="55" t="s">
        <v>318</v>
      </c>
      <c r="V169" s="55"/>
      <c r="W169" s="55"/>
      <c r="X169" s="56" t="s">
        <v>317</v>
      </c>
      <c r="Y169" s="56"/>
      <c r="Z169" s="56" t="str">
        <f t="shared" si="32"/>
        <v>Yes</v>
      </c>
      <c r="AA169" s="56" t="str">
        <f t="shared" si="33"/>
        <v>30 May,2023</v>
      </c>
    </row>
    <row r="170" spans="1:28" s="22" customFormat="1" ht="138.75" customHeight="1" x14ac:dyDescent="0.3">
      <c r="A170" s="41"/>
      <c r="B170" s="43" t="s">
        <v>242</v>
      </c>
      <c r="C170" s="45" t="s">
        <v>238</v>
      </c>
      <c r="D170" s="40">
        <v>3</v>
      </c>
      <c r="E170" s="40">
        <v>3</v>
      </c>
      <c r="F170" s="45">
        <v>3</v>
      </c>
      <c r="G170" s="45">
        <v>9</v>
      </c>
      <c r="H170" s="44" t="s">
        <v>300</v>
      </c>
      <c r="I170" s="59" t="s">
        <v>206</v>
      </c>
      <c r="J170" s="51">
        <v>2</v>
      </c>
      <c r="K170" s="51">
        <v>3</v>
      </c>
      <c r="L170" s="51">
        <f t="shared" si="38"/>
        <v>54</v>
      </c>
      <c r="M170" s="60" t="str">
        <f t="shared" si="37"/>
        <v>High</v>
      </c>
      <c r="N170" s="85" t="s">
        <v>311</v>
      </c>
      <c r="O170" s="51">
        <v>1</v>
      </c>
      <c r="P170" s="51">
        <v>2</v>
      </c>
      <c r="Q170" s="53">
        <f t="shared" si="31"/>
        <v>18</v>
      </c>
      <c r="R170" s="62" t="str">
        <f t="shared" si="36"/>
        <v>Low</v>
      </c>
      <c r="S170" s="87" t="s">
        <v>390</v>
      </c>
      <c r="T170" s="89" t="s">
        <v>312</v>
      </c>
      <c r="U170" s="55" t="s">
        <v>318</v>
      </c>
      <c r="V170" s="55"/>
      <c r="W170" s="55"/>
      <c r="X170" s="56" t="s">
        <v>317</v>
      </c>
      <c r="Y170" s="56"/>
      <c r="Z170" s="56" t="str">
        <f t="shared" si="32"/>
        <v>Yes</v>
      </c>
      <c r="AA170" s="56" t="str">
        <f t="shared" si="33"/>
        <v>30 May,2023</v>
      </c>
    </row>
    <row r="171" spans="1:28" s="26" customFormat="1" ht="66" x14ac:dyDescent="0.3">
      <c r="A171" s="42"/>
      <c r="B171" s="44" t="s">
        <v>67</v>
      </c>
      <c r="C171" s="40" t="s">
        <v>134</v>
      </c>
      <c r="D171" s="40">
        <v>3</v>
      </c>
      <c r="E171" s="40">
        <v>3</v>
      </c>
      <c r="F171" s="45">
        <v>3</v>
      </c>
      <c r="G171" s="45">
        <v>9</v>
      </c>
      <c r="H171" s="44" t="s">
        <v>300</v>
      </c>
      <c r="I171" s="42" t="s">
        <v>206</v>
      </c>
      <c r="J171" s="51">
        <v>2</v>
      </c>
      <c r="K171" s="51">
        <v>3</v>
      </c>
      <c r="L171" s="51">
        <f t="shared" si="38"/>
        <v>54</v>
      </c>
      <c r="M171" s="60" t="str">
        <f t="shared" si="37"/>
        <v>High</v>
      </c>
      <c r="N171" s="85" t="s">
        <v>311</v>
      </c>
      <c r="O171" s="51">
        <v>1</v>
      </c>
      <c r="P171" s="51">
        <v>2</v>
      </c>
      <c r="Q171" s="53">
        <f t="shared" ref="Q171:Q225" si="39">O171*P171*G171</f>
        <v>18</v>
      </c>
      <c r="R171" s="62" t="str">
        <f t="shared" si="36"/>
        <v>Low</v>
      </c>
      <c r="S171" s="87" t="s">
        <v>390</v>
      </c>
      <c r="T171" s="89" t="s">
        <v>312</v>
      </c>
      <c r="U171" s="55" t="s">
        <v>318</v>
      </c>
      <c r="V171" s="55"/>
      <c r="W171" s="55"/>
      <c r="X171" s="55" t="s">
        <v>295</v>
      </c>
      <c r="Y171" s="55"/>
      <c r="Z171" s="56" t="str">
        <f t="shared" si="32"/>
        <v>Yes</v>
      </c>
      <c r="AA171" s="56" t="str">
        <f t="shared" ref="AA171:AA226" si="40">IF(Z171="Yes","30 May,2023",IF(Z171="No","30 Aug,2022"))</f>
        <v>30 May,2023</v>
      </c>
    </row>
    <row r="172" spans="1:28" s="26" customFormat="1" ht="66" x14ac:dyDescent="0.3">
      <c r="A172" s="42"/>
      <c r="B172" s="58" t="s">
        <v>69</v>
      </c>
      <c r="C172" s="40" t="s">
        <v>137</v>
      </c>
      <c r="D172" s="40">
        <v>3</v>
      </c>
      <c r="E172" s="40">
        <v>3</v>
      </c>
      <c r="F172" s="45">
        <v>3</v>
      </c>
      <c r="G172" s="45">
        <v>9</v>
      </c>
      <c r="H172" s="44" t="s">
        <v>300</v>
      </c>
      <c r="I172" s="42" t="s">
        <v>206</v>
      </c>
      <c r="J172" s="51">
        <v>2</v>
      </c>
      <c r="K172" s="51">
        <v>3</v>
      </c>
      <c r="L172" s="51">
        <f t="shared" si="38"/>
        <v>54</v>
      </c>
      <c r="M172" s="60" t="str">
        <f t="shared" si="37"/>
        <v>High</v>
      </c>
      <c r="N172" s="85" t="s">
        <v>311</v>
      </c>
      <c r="O172" s="51">
        <v>1</v>
      </c>
      <c r="P172" s="51">
        <v>2</v>
      </c>
      <c r="Q172" s="53">
        <f t="shared" si="39"/>
        <v>18</v>
      </c>
      <c r="R172" s="62" t="str">
        <f t="shared" si="36"/>
        <v>Low</v>
      </c>
      <c r="S172" s="87" t="s">
        <v>390</v>
      </c>
      <c r="T172" s="89" t="s">
        <v>312</v>
      </c>
      <c r="U172" s="55" t="s">
        <v>318</v>
      </c>
      <c r="V172" s="55"/>
      <c r="W172" s="55"/>
      <c r="X172" s="55" t="s">
        <v>295</v>
      </c>
      <c r="Y172" s="55"/>
      <c r="Z172" s="56" t="str">
        <f t="shared" si="32"/>
        <v>Yes</v>
      </c>
      <c r="AA172" s="56" t="str">
        <f t="shared" si="40"/>
        <v>30 May,2023</v>
      </c>
    </row>
    <row r="173" spans="1:28" s="26" customFormat="1" ht="66" x14ac:dyDescent="0.3">
      <c r="A173" s="42"/>
      <c r="B173" s="44" t="s">
        <v>80</v>
      </c>
      <c r="C173" s="40" t="s">
        <v>143</v>
      </c>
      <c r="D173" s="40">
        <v>3</v>
      </c>
      <c r="E173" s="40">
        <v>3</v>
      </c>
      <c r="F173" s="45">
        <v>3</v>
      </c>
      <c r="G173" s="45">
        <v>9</v>
      </c>
      <c r="H173" s="44" t="s">
        <v>300</v>
      </c>
      <c r="I173" s="42" t="s">
        <v>206</v>
      </c>
      <c r="J173" s="51">
        <v>2</v>
      </c>
      <c r="K173" s="51">
        <v>3</v>
      </c>
      <c r="L173" s="51">
        <f t="shared" si="38"/>
        <v>54</v>
      </c>
      <c r="M173" s="60" t="str">
        <f t="shared" si="37"/>
        <v>High</v>
      </c>
      <c r="N173" s="85" t="s">
        <v>311</v>
      </c>
      <c r="O173" s="51">
        <v>1</v>
      </c>
      <c r="P173" s="51">
        <v>2</v>
      </c>
      <c r="Q173" s="53">
        <f t="shared" si="39"/>
        <v>18</v>
      </c>
      <c r="R173" s="62" t="str">
        <f t="shared" si="36"/>
        <v>Low</v>
      </c>
      <c r="S173" s="87" t="s">
        <v>390</v>
      </c>
      <c r="T173" s="89" t="s">
        <v>312</v>
      </c>
      <c r="U173" s="55" t="s">
        <v>318</v>
      </c>
      <c r="V173" s="55"/>
      <c r="W173" s="55"/>
      <c r="X173" s="55" t="s">
        <v>293</v>
      </c>
      <c r="Y173" s="55"/>
      <c r="Z173" s="56" t="str">
        <f t="shared" si="32"/>
        <v>Yes</v>
      </c>
      <c r="AA173" s="56" t="str">
        <f t="shared" si="40"/>
        <v>30 May,2023</v>
      </c>
    </row>
    <row r="174" spans="1:28" s="26" customFormat="1" ht="66" x14ac:dyDescent="0.3">
      <c r="A174" s="42"/>
      <c r="B174" s="44" t="s">
        <v>59</v>
      </c>
      <c r="C174" s="40" t="s">
        <v>119</v>
      </c>
      <c r="D174" s="40">
        <v>3</v>
      </c>
      <c r="E174" s="40">
        <v>3</v>
      </c>
      <c r="F174" s="45">
        <v>3</v>
      </c>
      <c r="G174" s="45">
        <v>9</v>
      </c>
      <c r="H174" s="44" t="s">
        <v>300</v>
      </c>
      <c r="I174" s="42" t="s">
        <v>206</v>
      </c>
      <c r="J174" s="51">
        <v>2</v>
      </c>
      <c r="K174" s="51">
        <v>3</v>
      </c>
      <c r="L174" s="51">
        <f t="shared" ref="L174:L183" si="41">K174*J174*G174</f>
        <v>54</v>
      </c>
      <c r="M174" s="60" t="str">
        <f t="shared" si="37"/>
        <v>High</v>
      </c>
      <c r="N174" s="85" t="s">
        <v>311</v>
      </c>
      <c r="O174" s="51">
        <v>1</v>
      </c>
      <c r="P174" s="51">
        <v>2</v>
      </c>
      <c r="Q174" s="53">
        <f t="shared" si="39"/>
        <v>18</v>
      </c>
      <c r="R174" s="62" t="str">
        <f t="shared" si="36"/>
        <v>Low</v>
      </c>
      <c r="S174" s="87" t="s">
        <v>390</v>
      </c>
      <c r="T174" s="89" t="s">
        <v>312</v>
      </c>
      <c r="U174" s="55" t="s">
        <v>318</v>
      </c>
      <c r="V174" s="55"/>
      <c r="W174" s="55"/>
      <c r="X174" s="55" t="s">
        <v>292</v>
      </c>
      <c r="Y174" s="55"/>
      <c r="Z174" s="56" t="str">
        <f t="shared" si="32"/>
        <v>Yes</v>
      </c>
      <c r="AA174" s="56" t="str">
        <f t="shared" si="40"/>
        <v>30 May,2023</v>
      </c>
    </row>
    <row r="175" spans="1:28" s="26" customFormat="1" ht="66" x14ac:dyDescent="0.3">
      <c r="A175" s="41"/>
      <c r="B175" s="44" t="s">
        <v>59</v>
      </c>
      <c r="C175" s="40" t="s">
        <v>123</v>
      </c>
      <c r="D175" s="40">
        <v>3</v>
      </c>
      <c r="E175" s="40">
        <v>3</v>
      </c>
      <c r="F175" s="45">
        <v>3</v>
      </c>
      <c r="G175" s="45">
        <v>9</v>
      </c>
      <c r="H175" s="44" t="s">
        <v>300</v>
      </c>
      <c r="I175" s="42" t="s">
        <v>206</v>
      </c>
      <c r="J175" s="51">
        <v>2</v>
      </c>
      <c r="K175" s="51">
        <v>3</v>
      </c>
      <c r="L175" s="51">
        <f t="shared" si="41"/>
        <v>54</v>
      </c>
      <c r="M175" s="60" t="str">
        <f t="shared" si="37"/>
        <v>High</v>
      </c>
      <c r="N175" s="85" t="s">
        <v>311</v>
      </c>
      <c r="O175" s="51">
        <v>1</v>
      </c>
      <c r="P175" s="51">
        <v>2</v>
      </c>
      <c r="Q175" s="53">
        <f t="shared" si="39"/>
        <v>18</v>
      </c>
      <c r="R175" s="62" t="str">
        <f t="shared" si="36"/>
        <v>Low</v>
      </c>
      <c r="S175" s="87" t="s">
        <v>390</v>
      </c>
      <c r="T175" s="89" t="s">
        <v>312</v>
      </c>
      <c r="U175" s="55" t="s">
        <v>318</v>
      </c>
      <c r="V175" s="55"/>
      <c r="W175" s="55"/>
      <c r="X175" s="55" t="s">
        <v>292</v>
      </c>
      <c r="Y175" s="55"/>
      <c r="Z175" s="56" t="str">
        <f t="shared" si="32"/>
        <v>Yes</v>
      </c>
      <c r="AA175" s="56" t="str">
        <f t="shared" si="40"/>
        <v>30 May,2023</v>
      </c>
    </row>
    <row r="176" spans="1:28" s="26" customFormat="1" ht="66" x14ac:dyDescent="0.3">
      <c r="A176" s="41"/>
      <c r="B176" s="44" t="s">
        <v>59</v>
      </c>
      <c r="C176" s="40" t="s">
        <v>126</v>
      </c>
      <c r="D176" s="40">
        <v>3</v>
      </c>
      <c r="E176" s="40">
        <v>3</v>
      </c>
      <c r="F176" s="45">
        <v>3</v>
      </c>
      <c r="G176" s="45">
        <v>9</v>
      </c>
      <c r="H176" s="44" t="s">
        <v>300</v>
      </c>
      <c r="I176" s="42" t="s">
        <v>206</v>
      </c>
      <c r="J176" s="51">
        <v>2</v>
      </c>
      <c r="K176" s="51">
        <v>3</v>
      </c>
      <c r="L176" s="51">
        <f t="shared" si="41"/>
        <v>54</v>
      </c>
      <c r="M176" s="60" t="str">
        <f t="shared" si="37"/>
        <v>High</v>
      </c>
      <c r="N176" s="85" t="s">
        <v>311</v>
      </c>
      <c r="O176" s="51">
        <v>1</v>
      </c>
      <c r="P176" s="51">
        <v>2</v>
      </c>
      <c r="Q176" s="53">
        <f t="shared" si="39"/>
        <v>18</v>
      </c>
      <c r="R176" s="62" t="str">
        <f t="shared" si="36"/>
        <v>Low</v>
      </c>
      <c r="S176" s="87" t="s">
        <v>390</v>
      </c>
      <c r="T176" s="89" t="s">
        <v>312</v>
      </c>
      <c r="U176" s="55" t="s">
        <v>318</v>
      </c>
      <c r="V176" s="55"/>
      <c r="W176" s="55"/>
      <c r="X176" s="55" t="s">
        <v>292</v>
      </c>
      <c r="Y176" s="55"/>
      <c r="Z176" s="56" t="str">
        <f t="shared" si="32"/>
        <v>Yes</v>
      </c>
      <c r="AA176" s="56" t="str">
        <f t="shared" si="40"/>
        <v>30 May,2023</v>
      </c>
    </row>
    <row r="177" spans="1:27" s="26" customFormat="1" ht="66" x14ac:dyDescent="0.3">
      <c r="A177" s="42"/>
      <c r="B177" s="44" t="s">
        <v>59</v>
      </c>
      <c r="C177" s="40" t="s">
        <v>128</v>
      </c>
      <c r="D177" s="40">
        <v>3</v>
      </c>
      <c r="E177" s="40">
        <v>3</v>
      </c>
      <c r="F177" s="45">
        <v>3</v>
      </c>
      <c r="G177" s="45">
        <v>9</v>
      </c>
      <c r="H177" s="44" t="s">
        <v>300</v>
      </c>
      <c r="I177" s="42" t="s">
        <v>206</v>
      </c>
      <c r="J177" s="51">
        <v>2</v>
      </c>
      <c r="K177" s="51">
        <v>3</v>
      </c>
      <c r="L177" s="51">
        <f>K177*J177*G177</f>
        <v>54</v>
      </c>
      <c r="M177" s="60" t="str">
        <f t="shared" si="37"/>
        <v>High</v>
      </c>
      <c r="N177" s="85" t="s">
        <v>311</v>
      </c>
      <c r="O177" s="51">
        <v>1</v>
      </c>
      <c r="P177" s="51">
        <v>2</v>
      </c>
      <c r="Q177" s="53">
        <f t="shared" si="39"/>
        <v>18</v>
      </c>
      <c r="R177" s="62" t="str">
        <f t="shared" si="36"/>
        <v>Low</v>
      </c>
      <c r="S177" s="87" t="s">
        <v>390</v>
      </c>
      <c r="T177" s="89" t="s">
        <v>312</v>
      </c>
      <c r="U177" s="55" t="s">
        <v>318</v>
      </c>
      <c r="V177" s="55"/>
      <c r="W177" s="55"/>
      <c r="X177" s="55" t="s">
        <v>292</v>
      </c>
      <c r="Y177" s="55"/>
      <c r="Z177" s="56" t="str">
        <f t="shared" si="32"/>
        <v>Yes</v>
      </c>
      <c r="AA177" s="56" t="str">
        <f t="shared" si="40"/>
        <v>30 May,2023</v>
      </c>
    </row>
    <row r="178" spans="1:27" s="26" customFormat="1" ht="66" x14ac:dyDescent="0.3">
      <c r="A178" s="42"/>
      <c r="B178" s="44" t="s">
        <v>58</v>
      </c>
      <c r="C178" s="40" t="s">
        <v>116</v>
      </c>
      <c r="D178" s="40">
        <v>3</v>
      </c>
      <c r="E178" s="40">
        <v>3</v>
      </c>
      <c r="F178" s="45">
        <v>3</v>
      </c>
      <c r="G178" s="45">
        <v>9</v>
      </c>
      <c r="H178" s="44" t="s">
        <v>300</v>
      </c>
      <c r="I178" s="44" t="s">
        <v>206</v>
      </c>
      <c r="J178" s="51">
        <v>2</v>
      </c>
      <c r="K178" s="51">
        <v>3</v>
      </c>
      <c r="L178" s="51">
        <f t="shared" si="41"/>
        <v>54</v>
      </c>
      <c r="M178" s="60" t="str">
        <f t="shared" si="37"/>
        <v>High</v>
      </c>
      <c r="N178" s="85" t="s">
        <v>311</v>
      </c>
      <c r="O178" s="51">
        <v>1</v>
      </c>
      <c r="P178" s="51">
        <v>2</v>
      </c>
      <c r="Q178" s="53">
        <f t="shared" si="39"/>
        <v>18</v>
      </c>
      <c r="R178" s="62" t="str">
        <f t="shared" si="36"/>
        <v>Low</v>
      </c>
      <c r="S178" s="87" t="s">
        <v>390</v>
      </c>
      <c r="T178" s="89" t="s">
        <v>312</v>
      </c>
      <c r="U178" s="55" t="s">
        <v>318</v>
      </c>
      <c r="V178" s="55"/>
      <c r="W178" s="55"/>
      <c r="X178" s="55" t="s">
        <v>292</v>
      </c>
      <c r="Y178" s="55"/>
      <c r="Z178" s="56" t="str">
        <f t="shared" si="32"/>
        <v>Yes</v>
      </c>
      <c r="AA178" s="56" t="str">
        <f t="shared" si="40"/>
        <v>30 May,2023</v>
      </c>
    </row>
    <row r="179" spans="1:27" s="26" customFormat="1" ht="66" x14ac:dyDescent="0.3">
      <c r="A179" s="42"/>
      <c r="B179" s="44" t="s">
        <v>57</v>
      </c>
      <c r="C179" s="40" t="s">
        <v>112</v>
      </c>
      <c r="D179" s="40">
        <v>3</v>
      </c>
      <c r="E179" s="40">
        <v>3</v>
      </c>
      <c r="F179" s="45">
        <v>3</v>
      </c>
      <c r="G179" s="45">
        <v>9</v>
      </c>
      <c r="H179" s="44" t="s">
        <v>300</v>
      </c>
      <c r="I179" s="44" t="s">
        <v>206</v>
      </c>
      <c r="J179" s="51">
        <v>2</v>
      </c>
      <c r="K179" s="51">
        <v>3</v>
      </c>
      <c r="L179" s="51">
        <f t="shared" si="41"/>
        <v>54</v>
      </c>
      <c r="M179" s="60" t="str">
        <f t="shared" si="37"/>
        <v>High</v>
      </c>
      <c r="N179" s="85" t="s">
        <v>311</v>
      </c>
      <c r="O179" s="51">
        <v>1</v>
      </c>
      <c r="P179" s="51">
        <v>2</v>
      </c>
      <c r="Q179" s="53">
        <f t="shared" si="39"/>
        <v>18</v>
      </c>
      <c r="R179" s="62" t="str">
        <f t="shared" si="36"/>
        <v>Low</v>
      </c>
      <c r="S179" s="87" t="s">
        <v>390</v>
      </c>
      <c r="T179" s="89" t="s">
        <v>312</v>
      </c>
      <c r="U179" s="55" t="s">
        <v>318</v>
      </c>
      <c r="V179" s="55"/>
      <c r="W179" s="55"/>
      <c r="X179" s="55" t="s">
        <v>292</v>
      </c>
      <c r="Y179" s="55"/>
      <c r="Z179" s="56" t="str">
        <f t="shared" si="32"/>
        <v>Yes</v>
      </c>
      <c r="AA179" s="56" t="str">
        <f t="shared" si="40"/>
        <v>30 May,2023</v>
      </c>
    </row>
    <row r="180" spans="1:27" s="26" customFormat="1" ht="66" x14ac:dyDescent="0.3">
      <c r="A180" s="42"/>
      <c r="B180" s="44" t="s">
        <v>57</v>
      </c>
      <c r="C180" s="40" t="s">
        <v>115</v>
      </c>
      <c r="D180" s="40">
        <v>3</v>
      </c>
      <c r="E180" s="40">
        <v>3</v>
      </c>
      <c r="F180" s="45">
        <v>3</v>
      </c>
      <c r="G180" s="45">
        <v>9</v>
      </c>
      <c r="H180" s="44" t="s">
        <v>300</v>
      </c>
      <c r="I180" s="44" t="s">
        <v>206</v>
      </c>
      <c r="J180" s="51">
        <v>2</v>
      </c>
      <c r="K180" s="51">
        <v>3</v>
      </c>
      <c r="L180" s="51">
        <f t="shared" si="41"/>
        <v>54</v>
      </c>
      <c r="M180" s="60" t="str">
        <f t="shared" si="37"/>
        <v>High</v>
      </c>
      <c r="N180" s="85" t="s">
        <v>311</v>
      </c>
      <c r="O180" s="51">
        <v>1</v>
      </c>
      <c r="P180" s="51">
        <v>2</v>
      </c>
      <c r="Q180" s="53">
        <f t="shared" si="39"/>
        <v>18</v>
      </c>
      <c r="R180" s="62" t="str">
        <f t="shared" si="36"/>
        <v>Low</v>
      </c>
      <c r="S180" s="87" t="s">
        <v>390</v>
      </c>
      <c r="T180" s="89" t="s">
        <v>312</v>
      </c>
      <c r="U180" s="55" t="s">
        <v>318</v>
      </c>
      <c r="V180" s="55"/>
      <c r="W180" s="55"/>
      <c r="X180" s="55" t="s">
        <v>292</v>
      </c>
      <c r="Y180" s="55"/>
      <c r="Z180" s="56" t="str">
        <f t="shared" si="32"/>
        <v>Yes</v>
      </c>
      <c r="AA180" s="56" t="str">
        <f t="shared" si="40"/>
        <v>30 May,2023</v>
      </c>
    </row>
    <row r="181" spans="1:27" s="26" customFormat="1" ht="66" x14ac:dyDescent="0.3">
      <c r="A181" s="42"/>
      <c r="B181" s="44" t="s">
        <v>70</v>
      </c>
      <c r="C181" s="40" t="s">
        <v>138</v>
      </c>
      <c r="D181" s="40">
        <v>3</v>
      </c>
      <c r="E181" s="40">
        <v>3</v>
      </c>
      <c r="F181" s="45">
        <v>3</v>
      </c>
      <c r="G181" s="45">
        <v>9</v>
      </c>
      <c r="H181" s="44" t="s">
        <v>300</v>
      </c>
      <c r="I181" s="42" t="s">
        <v>206</v>
      </c>
      <c r="J181" s="51">
        <v>2</v>
      </c>
      <c r="K181" s="51">
        <v>3</v>
      </c>
      <c r="L181" s="51">
        <f t="shared" si="41"/>
        <v>54</v>
      </c>
      <c r="M181" s="60" t="str">
        <f t="shared" si="37"/>
        <v>High</v>
      </c>
      <c r="N181" s="85" t="s">
        <v>311</v>
      </c>
      <c r="O181" s="51">
        <v>1</v>
      </c>
      <c r="P181" s="51">
        <v>2</v>
      </c>
      <c r="Q181" s="53">
        <f t="shared" si="39"/>
        <v>18</v>
      </c>
      <c r="R181" s="62" t="str">
        <f t="shared" si="36"/>
        <v>Low</v>
      </c>
      <c r="S181" s="87" t="s">
        <v>390</v>
      </c>
      <c r="T181" s="89" t="s">
        <v>312</v>
      </c>
      <c r="U181" s="55" t="s">
        <v>318</v>
      </c>
      <c r="V181" s="55"/>
      <c r="W181" s="55"/>
      <c r="X181" s="55" t="s">
        <v>293</v>
      </c>
      <c r="Y181" s="55"/>
      <c r="Z181" s="56" t="str">
        <f t="shared" si="32"/>
        <v>Yes</v>
      </c>
      <c r="AA181" s="56" t="str">
        <f t="shared" si="40"/>
        <v>30 May,2023</v>
      </c>
    </row>
    <row r="182" spans="1:27" s="26" customFormat="1" ht="66" x14ac:dyDescent="0.3">
      <c r="A182" s="42"/>
      <c r="B182" s="42" t="s">
        <v>96</v>
      </c>
      <c r="C182" s="40" t="s">
        <v>157</v>
      </c>
      <c r="D182" s="40">
        <v>3</v>
      </c>
      <c r="E182" s="40">
        <v>3</v>
      </c>
      <c r="F182" s="45">
        <v>3</v>
      </c>
      <c r="G182" s="45">
        <v>9</v>
      </c>
      <c r="H182" s="44" t="s">
        <v>300</v>
      </c>
      <c r="I182" s="42" t="s">
        <v>206</v>
      </c>
      <c r="J182" s="51">
        <v>2</v>
      </c>
      <c r="K182" s="51">
        <v>3</v>
      </c>
      <c r="L182" s="51">
        <f t="shared" si="41"/>
        <v>54</v>
      </c>
      <c r="M182" s="60" t="str">
        <f t="shared" si="37"/>
        <v>High</v>
      </c>
      <c r="N182" s="85" t="s">
        <v>311</v>
      </c>
      <c r="O182" s="51">
        <v>1</v>
      </c>
      <c r="P182" s="51">
        <v>2</v>
      </c>
      <c r="Q182" s="53">
        <f t="shared" si="39"/>
        <v>18</v>
      </c>
      <c r="R182" s="62" t="str">
        <f t="shared" si="36"/>
        <v>Low</v>
      </c>
      <c r="S182" s="87" t="s">
        <v>390</v>
      </c>
      <c r="T182" s="89" t="s">
        <v>312</v>
      </c>
      <c r="U182" s="55" t="s">
        <v>318</v>
      </c>
      <c r="V182" s="55"/>
      <c r="W182" s="55"/>
      <c r="X182" s="55" t="s">
        <v>297</v>
      </c>
      <c r="Y182" s="55"/>
      <c r="Z182" s="56" t="str">
        <f t="shared" si="32"/>
        <v>Yes</v>
      </c>
      <c r="AA182" s="56" t="str">
        <f t="shared" si="40"/>
        <v>30 May,2023</v>
      </c>
    </row>
    <row r="183" spans="1:27" s="26" customFormat="1" ht="66" x14ac:dyDescent="0.3">
      <c r="A183" s="42"/>
      <c r="B183" s="42" t="s">
        <v>178</v>
      </c>
      <c r="C183" s="47" t="s">
        <v>196</v>
      </c>
      <c r="D183" s="40">
        <v>3</v>
      </c>
      <c r="E183" s="40">
        <v>3</v>
      </c>
      <c r="F183" s="45">
        <v>3</v>
      </c>
      <c r="G183" s="45">
        <v>9</v>
      </c>
      <c r="H183" s="44" t="s">
        <v>300</v>
      </c>
      <c r="I183" s="42" t="s">
        <v>206</v>
      </c>
      <c r="J183" s="51">
        <v>2</v>
      </c>
      <c r="K183" s="51">
        <v>3</v>
      </c>
      <c r="L183" s="51">
        <f t="shared" si="41"/>
        <v>54</v>
      </c>
      <c r="M183" s="60" t="str">
        <f t="shared" si="37"/>
        <v>High</v>
      </c>
      <c r="N183" s="85" t="s">
        <v>311</v>
      </c>
      <c r="O183" s="51">
        <v>1</v>
      </c>
      <c r="P183" s="51">
        <v>2</v>
      </c>
      <c r="Q183" s="53">
        <f t="shared" si="39"/>
        <v>18</v>
      </c>
      <c r="R183" s="62" t="str">
        <f t="shared" si="36"/>
        <v>Low</v>
      </c>
      <c r="S183" s="87" t="s">
        <v>390</v>
      </c>
      <c r="T183" s="89" t="s">
        <v>312</v>
      </c>
      <c r="U183" s="55" t="s">
        <v>318</v>
      </c>
      <c r="V183" s="55"/>
      <c r="W183" s="55"/>
      <c r="X183" s="55" t="s">
        <v>298</v>
      </c>
      <c r="Y183" s="55"/>
      <c r="Z183" s="56" t="str">
        <f t="shared" si="32"/>
        <v>Yes</v>
      </c>
      <c r="AA183" s="56" t="str">
        <f t="shared" si="40"/>
        <v>30 May,2023</v>
      </c>
    </row>
    <row r="184" spans="1:27" s="26" customFormat="1" ht="41.4" x14ac:dyDescent="0.3">
      <c r="A184" s="42"/>
      <c r="B184" s="43" t="s">
        <v>253</v>
      </c>
      <c r="C184" s="43" t="s">
        <v>254</v>
      </c>
      <c r="D184" s="40">
        <v>3</v>
      </c>
      <c r="E184" s="40">
        <v>3</v>
      </c>
      <c r="F184" s="45">
        <v>3</v>
      </c>
      <c r="G184" s="45">
        <v>9</v>
      </c>
      <c r="H184" s="54" t="s">
        <v>220</v>
      </c>
      <c r="I184" s="54" t="s">
        <v>221</v>
      </c>
      <c r="J184" s="51">
        <v>2</v>
      </c>
      <c r="K184" s="51">
        <v>3</v>
      </c>
      <c r="L184" s="51">
        <f>K184*J184*G184</f>
        <v>54</v>
      </c>
      <c r="M184" s="60" t="str">
        <f t="shared" si="37"/>
        <v>High</v>
      </c>
      <c r="N184" s="63" t="s">
        <v>315</v>
      </c>
      <c r="O184" s="51">
        <v>1</v>
      </c>
      <c r="P184" s="51">
        <v>2</v>
      </c>
      <c r="Q184" s="53">
        <f t="shared" si="39"/>
        <v>18</v>
      </c>
      <c r="R184" s="62" t="str">
        <f t="shared" si="36"/>
        <v>Low</v>
      </c>
      <c r="S184" s="81" t="s">
        <v>420</v>
      </c>
      <c r="T184" s="57" t="s">
        <v>419</v>
      </c>
      <c r="U184" s="55" t="s">
        <v>318</v>
      </c>
      <c r="V184" s="55"/>
      <c r="W184" s="55"/>
      <c r="X184" s="56" t="s">
        <v>317</v>
      </c>
      <c r="Y184" s="56"/>
      <c r="Z184" s="56" t="str">
        <f t="shared" si="32"/>
        <v>Yes</v>
      </c>
      <c r="AA184" s="56" t="str">
        <f t="shared" si="40"/>
        <v>30 May,2023</v>
      </c>
    </row>
    <row r="185" spans="1:27" s="26" customFormat="1" ht="66" x14ac:dyDescent="0.3">
      <c r="A185" s="42"/>
      <c r="B185" s="43" t="s">
        <v>253</v>
      </c>
      <c r="C185" s="43" t="s">
        <v>254</v>
      </c>
      <c r="D185" s="40">
        <v>3</v>
      </c>
      <c r="E185" s="40">
        <v>3</v>
      </c>
      <c r="F185" s="45">
        <v>3</v>
      </c>
      <c r="G185" s="45">
        <v>9</v>
      </c>
      <c r="H185" s="44" t="s">
        <v>300</v>
      </c>
      <c r="I185" s="54" t="s">
        <v>206</v>
      </c>
      <c r="J185" s="51">
        <v>2</v>
      </c>
      <c r="K185" s="51">
        <v>3</v>
      </c>
      <c r="L185" s="51">
        <f t="shared" ref="L185:L241" si="42">K185*J185*G185</f>
        <v>54</v>
      </c>
      <c r="M185" s="60" t="str">
        <f t="shared" si="37"/>
        <v>High</v>
      </c>
      <c r="N185" s="85" t="s">
        <v>311</v>
      </c>
      <c r="O185" s="51">
        <v>1</v>
      </c>
      <c r="P185" s="51">
        <v>2</v>
      </c>
      <c r="Q185" s="53">
        <f t="shared" si="39"/>
        <v>18</v>
      </c>
      <c r="R185" s="62" t="str">
        <f t="shared" si="36"/>
        <v>Low</v>
      </c>
      <c r="S185" s="87" t="s">
        <v>390</v>
      </c>
      <c r="T185" s="89" t="s">
        <v>312</v>
      </c>
      <c r="U185" s="55" t="s">
        <v>318</v>
      </c>
      <c r="V185" s="55"/>
      <c r="W185" s="55"/>
      <c r="X185" s="56" t="s">
        <v>317</v>
      </c>
      <c r="Y185" s="56"/>
      <c r="Z185" s="56" t="str">
        <f t="shared" si="32"/>
        <v>Yes</v>
      </c>
      <c r="AA185" s="56" t="str">
        <f t="shared" si="40"/>
        <v>30 May,2023</v>
      </c>
    </row>
    <row r="186" spans="1:27" s="26" customFormat="1" ht="66" x14ac:dyDescent="0.3">
      <c r="A186" s="42"/>
      <c r="B186" s="43" t="s">
        <v>255</v>
      </c>
      <c r="C186" s="45" t="s">
        <v>256</v>
      </c>
      <c r="D186" s="40">
        <v>3</v>
      </c>
      <c r="E186" s="40">
        <v>3</v>
      </c>
      <c r="F186" s="45">
        <v>3</v>
      </c>
      <c r="G186" s="45">
        <v>9</v>
      </c>
      <c r="H186" s="44" t="s">
        <v>300</v>
      </c>
      <c r="I186" s="54" t="s">
        <v>206</v>
      </c>
      <c r="J186" s="51">
        <v>2</v>
      </c>
      <c r="K186" s="51">
        <v>3</v>
      </c>
      <c r="L186" s="51">
        <f t="shared" si="42"/>
        <v>54</v>
      </c>
      <c r="M186" s="60" t="str">
        <f t="shared" si="37"/>
        <v>High</v>
      </c>
      <c r="N186" s="85" t="s">
        <v>311</v>
      </c>
      <c r="O186" s="51">
        <v>1</v>
      </c>
      <c r="P186" s="51">
        <v>2</v>
      </c>
      <c r="Q186" s="53">
        <f t="shared" si="39"/>
        <v>18</v>
      </c>
      <c r="R186" s="62" t="str">
        <f t="shared" si="36"/>
        <v>Low</v>
      </c>
      <c r="S186" s="87" t="s">
        <v>390</v>
      </c>
      <c r="T186" s="89" t="s">
        <v>312</v>
      </c>
      <c r="U186" s="55" t="s">
        <v>318</v>
      </c>
      <c r="V186" s="55"/>
      <c r="W186" s="55"/>
      <c r="X186" s="56" t="s">
        <v>317</v>
      </c>
      <c r="Y186" s="56"/>
      <c r="Z186" s="56" t="str">
        <f t="shared" si="32"/>
        <v>Yes</v>
      </c>
      <c r="AA186" s="56" t="str">
        <f t="shared" si="40"/>
        <v>30 May,2023</v>
      </c>
    </row>
    <row r="187" spans="1:27" s="26" customFormat="1" ht="41.4" x14ac:dyDescent="0.3">
      <c r="A187" s="41"/>
      <c r="B187" s="43" t="s">
        <v>269</v>
      </c>
      <c r="C187" s="45" t="s">
        <v>270</v>
      </c>
      <c r="D187" s="40">
        <v>3</v>
      </c>
      <c r="E187" s="40">
        <v>3</v>
      </c>
      <c r="F187" s="45">
        <v>3</v>
      </c>
      <c r="G187" s="45">
        <v>9</v>
      </c>
      <c r="H187" s="44" t="s">
        <v>220</v>
      </c>
      <c r="I187" s="44" t="s">
        <v>221</v>
      </c>
      <c r="J187" s="51">
        <v>2</v>
      </c>
      <c r="K187" s="51">
        <v>3</v>
      </c>
      <c r="L187" s="51">
        <f t="shared" si="42"/>
        <v>54</v>
      </c>
      <c r="M187" s="60" t="str">
        <f t="shared" si="37"/>
        <v>High</v>
      </c>
      <c r="N187" s="63" t="s">
        <v>315</v>
      </c>
      <c r="O187" s="51">
        <v>1</v>
      </c>
      <c r="P187" s="51">
        <v>2</v>
      </c>
      <c r="Q187" s="53">
        <f t="shared" si="39"/>
        <v>18</v>
      </c>
      <c r="R187" s="62" t="str">
        <f t="shared" si="36"/>
        <v>Low</v>
      </c>
      <c r="S187" s="81" t="s">
        <v>420</v>
      </c>
      <c r="T187" s="57" t="s">
        <v>419</v>
      </c>
      <c r="U187" s="55" t="s">
        <v>318</v>
      </c>
      <c r="V187" s="55"/>
      <c r="W187" s="55"/>
      <c r="X187" s="56" t="s">
        <v>317</v>
      </c>
      <c r="Y187" s="56"/>
      <c r="Z187" s="56" t="str">
        <f t="shared" si="32"/>
        <v>Yes</v>
      </c>
      <c r="AA187" s="56" t="str">
        <f t="shared" si="40"/>
        <v>30 May,2023</v>
      </c>
    </row>
    <row r="188" spans="1:27" s="26" customFormat="1" ht="66" x14ac:dyDescent="0.3">
      <c r="A188" s="41"/>
      <c r="B188" s="43" t="s">
        <v>269</v>
      </c>
      <c r="C188" s="45" t="s">
        <v>270</v>
      </c>
      <c r="D188" s="40">
        <v>3</v>
      </c>
      <c r="E188" s="40">
        <v>3</v>
      </c>
      <c r="F188" s="45">
        <v>3</v>
      </c>
      <c r="G188" s="45">
        <v>9</v>
      </c>
      <c r="H188" s="44" t="s">
        <v>300</v>
      </c>
      <c r="I188" s="44" t="s">
        <v>206</v>
      </c>
      <c r="J188" s="51">
        <v>2</v>
      </c>
      <c r="K188" s="51">
        <v>3</v>
      </c>
      <c r="L188" s="51">
        <f t="shared" si="42"/>
        <v>54</v>
      </c>
      <c r="M188" s="60" t="str">
        <f t="shared" si="37"/>
        <v>High</v>
      </c>
      <c r="N188" s="85" t="s">
        <v>311</v>
      </c>
      <c r="O188" s="51">
        <v>1</v>
      </c>
      <c r="P188" s="51">
        <v>2</v>
      </c>
      <c r="Q188" s="53">
        <f t="shared" si="39"/>
        <v>18</v>
      </c>
      <c r="R188" s="62" t="str">
        <f t="shared" si="36"/>
        <v>Low</v>
      </c>
      <c r="S188" s="87" t="s">
        <v>390</v>
      </c>
      <c r="T188" s="89" t="s">
        <v>312</v>
      </c>
      <c r="U188" s="55" t="s">
        <v>318</v>
      </c>
      <c r="V188" s="55"/>
      <c r="W188" s="55"/>
      <c r="X188" s="56" t="s">
        <v>317</v>
      </c>
      <c r="Y188" s="56"/>
      <c r="Z188" s="56" t="str">
        <f t="shared" si="32"/>
        <v>Yes</v>
      </c>
      <c r="AA188" s="56" t="str">
        <f t="shared" si="40"/>
        <v>30 May,2023</v>
      </c>
    </row>
    <row r="189" spans="1:27" s="26" customFormat="1" ht="41.4" x14ac:dyDescent="0.3">
      <c r="A189" s="41"/>
      <c r="B189" s="43" t="s">
        <v>276</v>
      </c>
      <c r="C189" s="45" t="s">
        <v>277</v>
      </c>
      <c r="D189" s="40">
        <v>3</v>
      </c>
      <c r="E189" s="40">
        <v>3</v>
      </c>
      <c r="F189" s="45">
        <v>3</v>
      </c>
      <c r="G189" s="45">
        <v>9</v>
      </c>
      <c r="H189" s="54" t="s">
        <v>220</v>
      </c>
      <c r="I189" s="54" t="s">
        <v>221</v>
      </c>
      <c r="J189" s="51">
        <v>2</v>
      </c>
      <c r="K189" s="51">
        <v>3</v>
      </c>
      <c r="L189" s="51">
        <f t="shared" si="42"/>
        <v>54</v>
      </c>
      <c r="M189" s="60" t="str">
        <f t="shared" si="37"/>
        <v>High</v>
      </c>
      <c r="N189" s="63" t="s">
        <v>315</v>
      </c>
      <c r="O189" s="51">
        <v>1</v>
      </c>
      <c r="P189" s="51">
        <v>2</v>
      </c>
      <c r="Q189" s="53">
        <f t="shared" si="39"/>
        <v>18</v>
      </c>
      <c r="R189" s="62" t="str">
        <f t="shared" ref="R189:R241" si="43">IF(Q189&lt;=20,"Low",IF(Q189&lt;=40,"Medium",IF(Q189&lt;=81,"High")))</f>
        <v>Low</v>
      </c>
      <c r="S189" s="81" t="s">
        <v>420</v>
      </c>
      <c r="T189" s="57" t="s">
        <v>419</v>
      </c>
      <c r="U189" s="55" t="s">
        <v>318</v>
      </c>
      <c r="V189" s="55"/>
      <c r="W189" s="55"/>
      <c r="X189" s="56" t="s">
        <v>317</v>
      </c>
      <c r="Y189" s="56"/>
      <c r="Z189" s="56" t="str">
        <f t="shared" si="32"/>
        <v>Yes</v>
      </c>
      <c r="AA189" s="56" t="str">
        <f t="shared" si="40"/>
        <v>30 May,2023</v>
      </c>
    </row>
    <row r="190" spans="1:27" s="26" customFormat="1" ht="66" x14ac:dyDescent="0.3">
      <c r="A190" s="41"/>
      <c r="B190" s="43" t="s">
        <v>276</v>
      </c>
      <c r="C190" s="45" t="s">
        <v>277</v>
      </c>
      <c r="D190" s="40">
        <v>3</v>
      </c>
      <c r="E190" s="40">
        <v>3</v>
      </c>
      <c r="F190" s="45">
        <v>3</v>
      </c>
      <c r="G190" s="45">
        <v>9</v>
      </c>
      <c r="H190" s="44" t="s">
        <v>300</v>
      </c>
      <c r="I190" s="54" t="s">
        <v>206</v>
      </c>
      <c r="J190" s="51">
        <v>2</v>
      </c>
      <c r="K190" s="51">
        <v>3</v>
      </c>
      <c r="L190" s="51">
        <f t="shared" si="42"/>
        <v>54</v>
      </c>
      <c r="M190" s="60" t="str">
        <f t="shared" si="37"/>
        <v>High</v>
      </c>
      <c r="N190" s="85" t="s">
        <v>311</v>
      </c>
      <c r="O190" s="51">
        <v>1</v>
      </c>
      <c r="P190" s="51">
        <v>2</v>
      </c>
      <c r="Q190" s="53">
        <f t="shared" si="39"/>
        <v>18</v>
      </c>
      <c r="R190" s="62" t="str">
        <f t="shared" si="43"/>
        <v>Low</v>
      </c>
      <c r="S190" s="87" t="s">
        <v>390</v>
      </c>
      <c r="T190" s="89" t="s">
        <v>312</v>
      </c>
      <c r="U190" s="55" t="s">
        <v>318</v>
      </c>
      <c r="V190" s="55"/>
      <c r="W190" s="55"/>
      <c r="X190" s="56" t="s">
        <v>317</v>
      </c>
      <c r="Y190" s="56"/>
      <c r="Z190" s="56" t="str">
        <f t="shared" si="32"/>
        <v>Yes</v>
      </c>
      <c r="AA190" s="56" t="str">
        <f t="shared" si="40"/>
        <v>30 May,2023</v>
      </c>
    </row>
    <row r="191" spans="1:27" s="26" customFormat="1" ht="41.4" x14ac:dyDescent="0.3">
      <c r="A191" s="41"/>
      <c r="B191" s="43" t="s">
        <v>303</v>
      </c>
      <c r="C191" s="45" t="s">
        <v>307</v>
      </c>
      <c r="D191" s="40">
        <v>3</v>
      </c>
      <c r="E191" s="40">
        <v>3</v>
      </c>
      <c r="F191" s="45">
        <v>3</v>
      </c>
      <c r="G191" s="45">
        <v>9</v>
      </c>
      <c r="H191" s="54" t="s">
        <v>220</v>
      </c>
      <c r="I191" s="54" t="s">
        <v>221</v>
      </c>
      <c r="J191" s="51">
        <v>2</v>
      </c>
      <c r="K191" s="51">
        <v>3</v>
      </c>
      <c r="L191" s="51">
        <f t="shared" si="42"/>
        <v>54</v>
      </c>
      <c r="M191" s="60" t="str">
        <f t="shared" si="37"/>
        <v>High</v>
      </c>
      <c r="N191" s="63" t="s">
        <v>315</v>
      </c>
      <c r="O191" s="51">
        <v>1</v>
      </c>
      <c r="P191" s="51">
        <v>2</v>
      </c>
      <c r="Q191" s="53">
        <f t="shared" si="39"/>
        <v>18</v>
      </c>
      <c r="R191" s="62" t="str">
        <f t="shared" si="43"/>
        <v>Low</v>
      </c>
      <c r="S191" s="81" t="s">
        <v>420</v>
      </c>
      <c r="T191" s="57" t="s">
        <v>419</v>
      </c>
      <c r="U191" s="55" t="s">
        <v>318</v>
      </c>
      <c r="V191" s="55"/>
      <c r="W191" s="55"/>
      <c r="X191" s="56" t="s">
        <v>317</v>
      </c>
      <c r="Y191" s="56"/>
      <c r="Z191" s="56" t="str">
        <f t="shared" si="32"/>
        <v>Yes</v>
      </c>
      <c r="AA191" s="56" t="str">
        <f t="shared" si="40"/>
        <v>30 May,2023</v>
      </c>
    </row>
    <row r="192" spans="1:27" s="26" customFormat="1" ht="66" x14ac:dyDescent="0.3">
      <c r="A192" s="41"/>
      <c r="B192" s="43" t="s">
        <v>304</v>
      </c>
      <c r="C192" s="45" t="s">
        <v>307</v>
      </c>
      <c r="D192" s="40">
        <v>3</v>
      </c>
      <c r="E192" s="40">
        <v>3</v>
      </c>
      <c r="F192" s="45">
        <v>3</v>
      </c>
      <c r="G192" s="45">
        <v>9</v>
      </c>
      <c r="H192" s="44" t="s">
        <v>300</v>
      </c>
      <c r="I192" s="54" t="s">
        <v>206</v>
      </c>
      <c r="J192" s="51">
        <v>2</v>
      </c>
      <c r="K192" s="51">
        <v>3</v>
      </c>
      <c r="L192" s="51">
        <f t="shared" si="42"/>
        <v>54</v>
      </c>
      <c r="M192" s="60" t="str">
        <f t="shared" si="37"/>
        <v>High</v>
      </c>
      <c r="N192" s="85" t="s">
        <v>311</v>
      </c>
      <c r="O192" s="51">
        <v>1</v>
      </c>
      <c r="P192" s="51">
        <v>2</v>
      </c>
      <c r="Q192" s="53">
        <f t="shared" si="39"/>
        <v>18</v>
      </c>
      <c r="R192" s="62" t="str">
        <f t="shared" si="43"/>
        <v>Low</v>
      </c>
      <c r="S192" s="87" t="s">
        <v>390</v>
      </c>
      <c r="T192" s="89" t="s">
        <v>312</v>
      </c>
      <c r="U192" s="55" t="s">
        <v>318</v>
      </c>
      <c r="V192" s="55"/>
      <c r="W192" s="55"/>
      <c r="X192" s="56" t="s">
        <v>317</v>
      </c>
      <c r="Y192" s="56"/>
      <c r="Z192" s="56" t="str">
        <f t="shared" si="32"/>
        <v>Yes</v>
      </c>
      <c r="AA192" s="56" t="str">
        <f t="shared" si="40"/>
        <v>30 May,2023</v>
      </c>
    </row>
    <row r="193" spans="1:27" s="26" customFormat="1" ht="41.4" x14ac:dyDescent="0.3">
      <c r="A193" s="41"/>
      <c r="B193" s="43" t="s">
        <v>278</v>
      </c>
      <c r="C193" s="45" t="s">
        <v>279</v>
      </c>
      <c r="D193" s="40">
        <v>3</v>
      </c>
      <c r="E193" s="40">
        <v>3</v>
      </c>
      <c r="F193" s="45">
        <v>3</v>
      </c>
      <c r="G193" s="45">
        <v>9</v>
      </c>
      <c r="H193" s="44" t="s">
        <v>220</v>
      </c>
      <c r="I193" s="44" t="s">
        <v>221</v>
      </c>
      <c r="J193" s="51">
        <v>2</v>
      </c>
      <c r="K193" s="51">
        <v>3</v>
      </c>
      <c r="L193" s="51">
        <f t="shared" si="42"/>
        <v>54</v>
      </c>
      <c r="M193" s="60" t="str">
        <f t="shared" si="37"/>
        <v>High</v>
      </c>
      <c r="N193" s="63" t="s">
        <v>315</v>
      </c>
      <c r="O193" s="51">
        <v>1</v>
      </c>
      <c r="P193" s="51">
        <v>2</v>
      </c>
      <c r="Q193" s="53">
        <f t="shared" si="39"/>
        <v>18</v>
      </c>
      <c r="R193" s="62" t="str">
        <f t="shared" si="43"/>
        <v>Low</v>
      </c>
      <c r="S193" s="81" t="s">
        <v>420</v>
      </c>
      <c r="T193" s="57" t="s">
        <v>419</v>
      </c>
      <c r="U193" s="55" t="s">
        <v>318</v>
      </c>
      <c r="V193" s="55"/>
      <c r="W193" s="55"/>
      <c r="X193" s="56" t="s">
        <v>317</v>
      </c>
      <c r="Y193" s="56"/>
      <c r="Z193" s="56" t="str">
        <f t="shared" si="32"/>
        <v>Yes</v>
      </c>
      <c r="AA193" s="56" t="str">
        <f t="shared" si="40"/>
        <v>30 May,2023</v>
      </c>
    </row>
    <row r="194" spans="1:27" s="26" customFormat="1" ht="66" x14ac:dyDescent="0.3">
      <c r="A194" s="41"/>
      <c r="B194" s="43" t="s">
        <v>278</v>
      </c>
      <c r="C194" s="45" t="s">
        <v>279</v>
      </c>
      <c r="D194" s="40">
        <v>3</v>
      </c>
      <c r="E194" s="40">
        <v>3</v>
      </c>
      <c r="F194" s="45">
        <v>3</v>
      </c>
      <c r="G194" s="45">
        <v>9</v>
      </c>
      <c r="H194" s="44" t="s">
        <v>300</v>
      </c>
      <c r="I194" s="44" t="s">
        <v>206</v>
      </c>
      <c r="J194" s="51">
        <v>2</v>
      </c>
      <c r="K194" s="51">
        <v>3</v>
      </c>
      <c r="L194" s="51">
        <f t="shared" si="42"/>
        <v>54</v>
      </c>
      <c r="M194" s="60" t="str">
        <f t="shared" si="37"/>
        <v>High</v>
      </c>
      <c r="N194" s="85" t="s">
        <v>311</v>
      </c>
      <c r="O194" s="51">
        <v>1</v>
      </c>
      <c r="P194" s="51">
        <v>2</v>
      </c>
      <c r="Q194" s="53">
        <f t="shared" si="39"/>
        <v>18</v>
      </c>
      <c r="R194" s="62" t="str">
        <f t="shared" si="43"/>
        <v>Low</v>
      </c>
      <c r="S194" s="87" t="s">
        <v>390</v>
      </c>
      <c r="T194" s="89" t="s">
        <v>312</v>
      </c>
      <c r="U194" s="55" t="s">
        <v>318</v>
      </c>
      <c r="V194" s="55"/>
      <c r="W194" s="55"/>
      <c r="X194" s="56" t="s">
        <v>317</v>
      </c>
      <c r="Y194" s="56"/>
      <c r="Z194" s="56" t="str">
        <f t="shared" si="32"/>
        <v>Yes</v>
      </c>
      <c r="AA194" s="56" t="str">
        <f t="shared" si="40"/>
        <v>30 May,2023</v>
      </c>
    </row>
    <row r="195" spans="1:27" s="26" customFormat="1" ht="41.4" x14ac:dyDescent="0.3">
      <c r="A195" s="20"/>
      <c r="B195" s="43" t="s">
        <v>308</v>
      </c>
      <c r="C195" s="45" t="s">
        <v>309</v>
      </c>
      <c r="D195" s="40">
        <v>3</v>
      </c>
      <c r="E195" s="40">
        <v>3</v>
      </c>
      <c r="F195" s="45">
        <v>3</v>
      </c>
      <c r="G195" s="45">
        <v>9</v>
      </c>
      <c r="H195" s="54" t="s">
        <v>220</v>
      </c>
      <c r="I195" s="54" t="s">
        <v>221</v>
      </c>
      <c r="J195" s="51">
        <v>2</v>
      </c>
      <c r="K195" s="51">
        <v>3</v>
      </c>
      <c r="L195" s="51">
        <f t="shared" si="42"/>
        <v>54</v>
      </c>
      <c r="M195" s="60" t="str">
        <f t="shared" si="37"/>
        <v>High</v>
      </c>
      <c r="N195" s="63" t="s">
        <v>315</v>
      </c>
      <c r="O195" s="51">
        <v>1</v>
      </c>
      <c r="P195" s="51">
        <v>2</v>
      </c>
      <c r="Q195" s="53">
        <f t="shared" si="39"/>
        <v>18</v>
      </c>
      <c r="R195" s="62" t="str">
        <f t="shared" si="43"/>
        <v>Low</v>
      </c>
      <c r="S195" s="81" t="s">
        <v>420</v>
      </c>
      <c r="T195" s="57" t="s">
        <v>419</v>
      </c>
      <c r="U195" s="55" t="s">
        <v>318</v>
      </c>
      <c r="V195" s="55"/>
      <c r="W195" s="55"/>
      <c r="X195" s="56" t="s">
        <v>317</v>
      </c>
      <c r="Y195" s="56"/>
      <c r="Z195" s="56" t="str">
        <f t="shared" si="32"/>
        <v>Yes</v>
      </c>
      <c r="AA195" s="56" t="str">
        <f t="shared" si="40"/>
        <v>30 May,2023</v>
      </c>
    </row>
    <row r="196" spans="1:27" s="26" customFormat="1" ht="66" x14ac:dyDescent="0.3">
      <c r="A196" s="20"/>
      <c r="B196" s="43" t="s">
        <v>308</v>
      </c>
      <c r="C196" s="45" t="s">
        <v>309</v>
      </c>
      <c r="D196" s="40">
        <v>3</v>
      </c>
      <c r="E196" s="40">
        <v>3</v>
      </c>
      <c r="F196" s="45">
        <v>3</v>
      </c>
      <c r="G196" s="45">
        <v>9</v>
      </c>
      <c r="H196" s="44" t="s">
        <v>300</v>
      </c>
      <c r="I196" s="54" t="s">
        <v>206</v>
      </c>
      <c r="J196" s="51">
        <v>2</v>
      </c>
      <c r="K196" s="51">
        <v>3</v>
      </c>
      <c r="L196" s="51">
        <f t="shared" si="42"/>
        <v>54</v>
      </c>
      <c r="M196" s="60" t="str">
        <f t="shared" si="37"/>
        <v>High</v>
      </c>
      <c r="N196" s="85" t="s">
        <v>311</v>
      </c>
      <c r="O196" s="51">
        <v>1</v>
      </c>
      <c r="P196" s="51">
        <v>2</v>
      </c>
      <c r="Q196" s="53">
        <f t="shared" si="39"/>
        <v>18</v>
      </c>
      <c r="R196" s="62" t="str">
        <f t="shared" si="43"/>
        <v>Low</v>
      </c>
      <c r="S196" s="87" t="s">
        <v>390</v>
      </c>
      <c r="T196" s="89" t="s">
        <v>312</v>
      </c>
      <c r="U196" s="55" t="s">
        <v>318</v>
      </c>
      <c r="V196" s="55"/>
      <c r="W196" s="55"/>
      <c r="X196" s="56" t="s">
        <v>317</v>
      </c>
      <c r="Y196" s="56"/>
      <c r="Z196" s="56" t="str">
        <f t="shared" si="32"/>
        <v>Yes</v>
      </c>
      <c r="AA196" s="56" t="str">
        <f t="shared" si="40"/>
        <v>30 May,2023</v>
      </c>
    </row>
    <row r="197" spans="1:27" s="26" customFormat="1" ht="66" x14ac:dyDescent="0.3">
      <c r="A197" s="42"/>
      <c r="B197" s="58" t="s">
        <v>90</v>
      </c>
      <c r="C197" s="40" t="s">
        <v>150</v>
      </c>
      <c r="D197" s="40">
        <v>2</v>
      </c>
      <c r="E197" s="40">
        <v>2</v>
      </c>
      <c r="F197" s="40">
        <v>2</v>
      </c>
      <c r="G197" s="45">
        <v>6</v>
      </c>
      <c r="H197" s="44" t="s">
        <v>211</v>
      </c>
      <c r="I197" s="44" t="s">
        <v>416</v>
      </c>
      <c r="J197" s="51">
        <v>3</v>
      </c>
      <c r="K197" s="51">
        <v>3</v>
      </c>
      <c r="L197" s="51">
        <f t="shared" si="42"/>
        <v>54</v>
      </c>
      <c r="M197" s="60" t="str">
        <f t="shared" si="37"/>
        <v>High</v>
      </c>
      <c r="N197" s="83" t="s">
        <v>415</v>
      </c>
      <c r="O197" s="51">
        <v>1</v>
      </c>
      <c r="P197" s="51">
        <v>2</v>
      </c>
      <c r="Q197" s="53">
        <f t="shared" si="39"/>
        <v>12</v>
      </c>
      <c r="R197" s="62" t="str">
        <f t="shared" si="43"/>
        <v>Low</v>
      </c>
      <c r="S197" s="19" t="s">
        <v>417</v>
      </c>
      <c r="T197" s="80" t="s">
        <v>418</v>
      </c>
      <c r="U197" s="55" t="s">
        <v>318</v>
      </c>
      <c r="V197" s="55"/>
      <c r="W197" s="55"/>
      <c r="X197" s="55" t="s">
        <v>291</v>
      </c>
      <c r="Y197" s="55"/>
      <c r="Z197" s="56" t="str">
        <f t="shared" ref="Z197:Z241" si="44">IF(Q197&lt;=20,"Yes",IF(Q197&gt;20,"No"))</f>
        <v>Yes</v>
      </c>
      <c r="AA197" s="56" t="str">
        <f t="shared" si="40"/>
        <v>30 May,2023</v>
      </c>
    </row>
    <row r="198" spans="1:27" s="26" customFormat="1" ht="66" x14ac:dyDescent="0.3">
      <c r="A198" s="42"/>
      <c r="B198" s="44" t="s">
        <v>93</v>
      </c>
      <c r="C198" s="40" t="s">
        <v>154</v>
      </c>
      <c r="D198" s="40">
        <v>3</v>
      </c>
      <c r="E198" s="40">
        <v>3</v>
      </c>
      <c r="F198" s="40">
        <v>3</v>
      </c>
      <c r="G198" s="45">
        <v>9</v>
      </c>
      <c r="H198" s="44" t="s">
        <v>211</v>
      </c>
      <c r="I198" s="44" t="s">
        <v>416</v>
      </c>
      <c r="J198" s="51">
        <v>3</v>
      </c>
      <c r="K198" s="51">
        <v>3</v>
      </c>
      <c r="L198" s="51">
        <f t="shared" si="42"/>
        <v>81</v>
      </c>
      <c r="M198" s="60" t="str">
        <f t="shared" si="37"/>
        <v>High</v>
      </c>
      <c r="N198" s="83" t="s">
        <v>415</v>
      </c>
      <c r="O198" s="51">
        <v>1</v>
      </c>
      <c r="P198" s="51">
        <v>2</v>
      </c>
      <c r="Q198" s="53">
        <f t="shared" si="39"/>
        <v>18</v>
      </c>
      <c r="R198" s="62" t="str">
        <f t="shared" si="43"/>
        <v>Low</v>
      </c>
      <c r="S198" s="19" t="s">
        <v>417</v>
      </c>
      <c r="T198" s="80" t="s">
        <v>418</v>
      </c>
      <c r="U198" s="55" t="s">
        <v>318</v>
      </c>
      <c r="V198" s="55"/>
      <c r="W198" s="55"/>
      <c r="X198" s="55" t="s">
        <v>291</v>
      </c>
      <c r="Y198" s="55"/>
      <c r="Z198" s="56" t="str">
        <f t="shared" si="44"/>
        <v>Yes</v>
      </c>
      <c r="AA198" s="56" t="str">
        <f t="shared" si="40"/>
        <v>30 May,2023</v>
      </c>
    </row>
    <row r="199" spans="1:27" s="26" customFormat="1" ht="151.80000000000001" x14ac:dyDescent="0.3">
      <c r="A199" s="41"/>
      <c r="B199" s="44" t="s">
        <v>166</v>
      </c>
      <c r="C199" s="40" t="s">
        <v>187</v>
      </c>
      <c r="D199" s="40">
        <v>2</v>
      </c>
      <c r="E199" s="40">
        <v>2</v>
      </c>
      <c r="F199" s="40">
        <v>2</v>
      </c>
      <c r="G199" s="45">
        <v>6</v>
      </c>
      <c r="H199" s="42" t="s">
        <v>428</v>
      </c>
      <c r="I199" s="42" t="s">
        <v>205</v>
      </c>
      <c r="J199" s="51">
        <v>2</v>
      </c>
      <c r="K199" s="51">
        <v>2</v>
      </c>
      <c r="L199" s="51">
        <f t="shared" si="42"/>
        <v>24</v>
      </c>
      <c r="M199" s="61" t="str">
        <f t="shared" si="37"/>
        <v>Medium</v>
      </c>
      <c r="N199" s="82" t="s">
        <v>395</v>
      </c>
      <c r="O199" s="51">
        <v>1</v>
      </c>
      <c r="P199" s="51">
        <v>1</v>
      </c>
      <c r="Q199" s="53">
        <f t="shared" si="39"/>
        <v>6</v>
      </c>
      <c r="R199" s="62" t="str">
        <f t="shared" si="43"/>
        <v>Low</v>
      </c>
      <c r="S199" s="81" t="s">
        <v>383</v>
      </c>
      <c r="T199" s="57" t="s">
        <v>212</v>
      </c>
      <c r="U199" s="55" t="s">
        <v>318</v>
      </c>
      <c r="V199" s="55"/>
      <c r="W199" s="55"/>
      <c r="X199" s="55" t="s">
        <v>293</v>
      </c>
      <c r="Y199" s="55"/>
      <c r="Z199" s="56" t="str">
        <f t="shared" si="44"/>
        <v>Yes</v>
      </c>
      <c r="AA199" s="56" t="str">
        <f t="shared" si="40"/>
        <v>30 May,2023</v>
      </c>
    </row>
    <row r="200" spans="1:27" s="26" customFormat="1" ht="151.80000000000001" x14ac:dyDescent="0.3">
      <c r="A200" s="41"/>
      <c r="B200" s="44" t="s">
        <v>167</v>
      </c>
      <c r="C200" s="40" t="s">
        <v>188</v>
      </c>
      <c r="D200" s="40">
        <v>2</v>
      </c>
      <c r="E200" s="40">
        <v>2</v>
      </c>
      <c r="F200" s="40">
        <v>2</v>
      </c>
      <c r="G200" s="45">
        <v>6</v>
      </c>
      <c r="H200" s="42" t="s">
        <v>428</v>
      </c>
      <c r="I200" s="42" t="s">
        <v>205</v>
      </c>
      <c r="J200" s="51">
        <v>2</v>
      </c>
      <c r="K200" s="51">
        <v>2</v>
      </c>
      <c r="L200" s="51">
        <f t="shared" si="42"/>
        <v>24</v>
      </c>
      <c r="M200" s="61" t="str">
        <f t="shared" si="37"/>
        <v>Medium</v>
      </c>
      <c r="N200" s="82" t="s">
        <v>395</v>
      </c>
      <c r="O200" s="51">
        <v>1</v>
      </c>
      <c r="P200" s="51">
        <v>1</v>
      </c>
      <c r="Q200" s="53">
        <f t="shared" si="39"/>
        <v>6</v>
      </c>
      <c r="R200" s="62" t="str">
        <f t="shared" si="43"/>
        <v>Low</v>
      </c>
      <c r="S200" s="81" t="s">
        <v>383</v>
      </c>
      <c r="T200" s="57" t="s">
        <v>212</v>
      </c>
      <c r="U200" s="55" t="s">
        <v>318</v>
      </c>
      <c r="V200" s="55"/>
      <c r="W200" s="55"/>
      <c r="X200" s="55" t="s">
        <v>293</v>
      </c>
      <c r="Y200" s="55"/>
      <c r="Z200" s="56" t="str">
        <f t="shared" si="44"/>
        <v>Yes</v>
      </c>
      <c r="AA200" s="56" t="str">
        <f t="shared" si="40"/>
        <v>30 May,2023</v>
      </c>
    </row>
    <row r="201" spans="1:27" s="26" customFormat="1" ht="151.80000000000001" x14ac:dyDescent="0.3">
      <c r="A201" s="41"/>
      <c r="B201" s="44" t="s">
        <v>169</v>
      </c>
      <c r="C201" s="40" t="s">
        <v>190</v>
      </c>
      <c r="D201" s="40">
        <v>2</v>
      </c>
      <c r="E201" s="40">
        <v>2</v>
      </c>
      <c r="F201" s="40">
        <v>2</v>
      </c>
      <c r="G201" s="45">
        <v>6</v>
      </c>
      <c r="H201" s="42" t="s">
        <v>428</v>
      </c>
      <c r="I201" s="42" t="s">
        <v>205</v>
      </c>
      <c r="J201" s="51">
        <v>2</v>
      </c>
      <c r="K201" s="51">
        <v>2</v>
      </c>
      <c r="L201" s="51">
        <f t="shared" si="42"/>
        <v>24</v>
      </c>
      <c r="M201" s="61" t="str">
        <f t="shared" si="37"/>
        <v>Medium</v>
      </c>
      <c r="N201" s="82" t="s">
        <v>395</v>
      </c>
      <c r="O201" s="51">
        <v>1</v>
      </c>
      <c r="P201" s="51">
        <v>1</v>
      </c>
      <c r="Q201" s="53">
        <f t="shared" si="39"/>
        <v>6</v>
      </c>
      <c r="R201" s="62" t="str">
        <f t="shared" si="43"/>
        <v>Low</v>
      </c>
      <c r="S201" s="81" t="s">
        <v>383</v>
      </c>
      <c r="T201" s="57" t="s">
        <v>212</v>
      </c>
      <c r="U201" s="55" t="s">
        <v>318</v>
      </c>
      <c r="V201" s="55"/>
      <c r="W201" s="55"/>
      <c r="X201" s="55" t="s">
        <v>293</v>
      </c>
      <c r="Y201" s="55"/>
      <c r="Z201" s="56" t="str">
        <f t="shared" si="44"/>
        <v>Yes</v>
      </c>
      <c r="AA201" s="56" t="str">
        <f t="shared" si="40"/>
        <v>30 May,2023</v>
      </c>
    </row>
    <row r="202" spans="1:27" s="26" customFormat="1" ht="66" x14ac:dyDescent="0.3">
      <c r="A202" s="42"/>
      <c r="B202" s="44" t="s">
        <v>173</v>
      </c>
      <c r="C202" s="40" t="s">
        <v>193</v>
      </c>
      <c r="D202" s="40">
        <v>2</v>
      </c>
      <c r="E202" s="40">
        <v>2</v>
      </c>
      <c r="F202" s="40">
        <v>2</v>
      </c>
      <c r="G202" s="45">
        <v>6</v>
      </c>
      <c r="H202" s="44" t="s">
        <v>211</v>
      </c>
      <c r="I202" s="44" t="s">
        <v>416</v>
      </c>
      <c r="J202" s="51">
        <v>3</v>
      </c>
      <c r="K202" s="51">
        <v>3</v>
      </c>
      <c r="L202" s="51">
        <f t="shared" si="42"/>
        <v>54</v>
      </c>
      <c r="M202" s="60" t="str">
        <f t="shared" ref="M202:M241" si="45">IF(L202&lt;=20,"Low",IF(L202&lt;=40,"Medium",IF(L202&lt;=81,"High")))</f>
        <v>High</v>
      </c>
      <c r="N202" s="83" t="s">
        <v>415</v>
      </c>
      <c r="O202" s="51">
        <v>1</v>
      </c>
      <c r="P202" s="51">
        <v>2</v>
      </c>
      <c r="Q202" s="53">
        <f t="shared" si="39"/>
        <v>12</v>
      </c>
      <c r="R202" s="62" t="str">
        <f t="shared" si="43"/>
        <v>Low</v>
      </c>
      <c r="S202" s="19" t="s">
        <v>417</v>
      </c>
      <c r="T202" s="80" t="s">
        <v>418</v>
      </c>
      <c r="U202" s="55" t="s">
        <v>318</v>
      </c>
      <c r="V202" s="55"/>
      <c r="W202" s="55"/>
      <c r="X202" s="55" t="s">
        <v>293</v>
      </c>
      <c r="Y202" s="55"/>
      <c r="Z202" s="56" t="str">
        <f t="shared" si="44"/>
        <v>Yes</v>
      </c>
      <c r="AA202" s="56" t="str">
        <f t="shared" si="40"/>
        <v>30 May,2023</v>
      </c>
    </row>
    <row r="203" spans="1:27" s="26" customFormat="1" ht="151.80000000000001" x14ac:dyDescent="0.3">
      <c r="A203" s="42"/>
      <c r="B203" s="58" t="s">
        <v>73</v>
      </c>
      <c r="C203" s="40" t="s">
        <v>140</v>
      </c>
      <c r="D203" s="40">
        <v>2</v>
      </c>
      <c r="E203" s="40">
        <v>2</v>
      </c>
      <c r="F203" s="40">
        <v>2</v>
      </c>
      <c r="G203" s="45">
        <v>6</v>
      </c>
      <c r="H203" s="42" t="s">
        <v>428</v>
      </c>
      <c r="I203" s="42" t="s">
        <v>205</v>
      </c>
      <c r="J203" s="51">
        <v>2</v>
      </c>
      <c r="K203" s="51">
        <v>2</v>
      </c>
      <c r="L203" s="51">
        <f t="shared" si="42"/>
        <v>24</v>
      </c>
      <c r="M203" s="61" t="str">
        <f t="shared" si="45"/>
        <v>Medium</v>
      </c>
      <c r="N203" s="82" t="s">
        <v>395</v>
      </c>
      <c r="O203" s="51">
        <v>1</v>
      </c>
      <c r="P203" s="51">
        <v>1</v>
      </c>
      <c r="Q203" s="53">
        <f t="shared" si="39"/>
        <v>6</v>
      </c>
      <c r="R203" s="62" t="str">
        <f t="shared" si="43"/>
        <v>Low</v>
      </c>
      <c r="S203" s="81" t="s">
        <v>383</v>
      </c>
      <c r="T203" s="57" t="s">
        <v>212</v>
      </c>
      <c r="U203" s="55" t="s">
        <v>318</v>
      </c>
      <c r="V203" s="55"/>
      <c r="W203" s="55"/>
      <c r="X203" s="55" t="s">
        <v>294</v>
      </c>
      <c r="Y203" s="55"/>
      <c r="Z203" s="56" t="str">
        <f t="shared" si="44"/>
        <v>Yes</v>
      </c>
      <c r="AA203" s="56" t="str">
        <f t="shared" si="40"/>
        <v>30 May,2023</v>
      </c>
    </row>
    <row r="204" spans="1:27" s="26" customFormat="1" ht="66" x14ac:dyDescent="0.3">
      <c r="A204" s="42"/>
      <c r="B204" s="58" t="s">
        <v>73</v>
      </c>
      <c r="C204" s="40" t="s">
        <v>140</v>
      </c>
      <c r="D204" s="40">
        <v>2</v>
      </c>
      <c r="E204" s="40">
        <v>2</v>
      </c>
      <c r="F204" s="40">
        <v>2</v>
      </c>
      <c r="G204" s="45">
        <v>6</v>
      </c>
      <c r="H204" s="44" t="s">
        <v>211</v>
      </c>
      <c r="I204" s="44" t="s">
        <v>416</v>
      </c>
      <c r="J204" s="51">
        <v>3</v>
      </c>
      <c r="K204" s="51">
        <v>3</v>
      </c>
      <c r="L204" s="51">
        <f t="shared" si="42"/>
        <v>54</v>
      </c>
      <c r="M204" s="60" t="str">
        <f t="shared" si="45"/>
        <v>High</v>
      </c>
      <c r="N204" s="83" t="s">
        <v>415</v>
      </c>
      <c r="O204" s="51">
        <v>1</v>
      </c>
      <c r="P204" s="51">
        <v>2</v>
      </c>
      <c r="Q204" s="53">
        <f t="shared" si="39"/>
        <v>12</v>
      </c>
      <c r="R204" s="62" t="str">
        <f t="shared" si="43"/>
        <v>Low</v>
      </c>
      <c r="S204" s="19" t="s">
        <v>417</v>
      </c>
      <c r="T204" s="80" t="s">
        <v>418</v>
      </c>
      <c r="U204" s="55" t="s">
        <v>318</v>
      </c>
      <c r="V204" s="55"/>
      <c r="W204" s="55"/>
      <c r="X204" s="55" t="s">
        <v>294</v>
      </c>
      <c r="Y204" s="55"/>
      <c r="Z204" s="56" t="str">
        <f t="shared" si="44"/>
        <v>Yes</v>
      </c>
      <c r="AA204" s="56" t="str">
        <f t="shared" si="40"/>
        <v>30 May,2023</v>
      </c>
    </row>
    <row r="205" spans="1:27" s="26" customFormat="1" ht="151.80000000000001" x14ac:dyDescent="0.3">
      <c r="A205" s="42"/>
      <c r="B205" s="64" t="s">
        <v>48</v>
      </c>
      <c r="C205" s="46" t="s">
        <v>105</v>
      </c>
      <c r="D205" s="40">
        <v>2</v>
      </c>
      <c r="E205" s="40">
        <v>2</v>
      </c>
      <c r="F205" s="40">
        <v>2</v>
      </c>
      <c r="G205" s="45">
        <v>6</v>
      </c>
      <c r="H205" s="42" t="s">
        <v>428</v>
      </c>
      <c r="I205" s="42" t="s">
        <v>205</v>
      </c>
      <c r="J205" s="51">
        <v>2</v>
      </c>
      <c r="K205" s="51">
        <v>2</v>
      </c>
      <c r="L205" s="51">
        <f t="shared" si="42"/>
        <v>24</v>
      </c>
      <c r="M205" s="61" t="str">
        <f t="shared" si="45"/>
        <v>Medium</v>
      </c>
      <c r="N205" s="82" t="s">
        <v>395</v>
      </c>
      <c r="O205" s="51">
        <v>1</v>
      </c>
      <c r="P205" s="51">
        <v>1</v>
      </c>
      <c r="Q205" s="53">
        <f t="shared" si="39"/>
        <v>6</v>
      </c>
      <c r="R205" s="62" t="str">
        <f t="shared" si="43"/>
        <v>Low</v>
      </c>
      <c r="S205" s="81" t="s">
        <v>383</v>
      </c>
      <c r="T205" s="57" t="s">
        <v>212</v>
      </c>
      <c r="U205" s="55" t="s">
        <v>318</v>
      </c>
      <c r="V205" s="55"/>
      <c r="W205" s="55"/>
      <c r="X205" s="54" t="s">
        <v>291</v>
      </c>
      <c r="Y205" s="54"/>
      <c r="Z205" s="56" t="str">
        <f t="shared" si="44"/>
        <v>Yes</v>
      </c>
      <c r="AA205" s="56" t="str">
        <f t="shared" si="40"/>
        <v>30 May,2023</v>
      </c>
    </row>
    <row r="206" spans="1:27" s="26" customFormat="1" ht="66" x14ac:dyDescent="0.3">
      <c r="A206" s="42"/>
      <c r="B206" s="44" t="s">
        <v>88</v>
      </c>
      <c r="C206" s="40" t="s">
        <v>148</v>
      </c>
      <c r="D206" s="40">
        <v>2</v>
      </c>
      <c r="E206" s="40">
        <v>2</v>
      </c>
      <c r="F206" s="40">
        <v>2</v>
      </c>
      <c r="G206" s="45">
        <v>6</v>
      </c>
      <c r="H206" s="44" t="s">
        <v>211</v>
      </c>
      <c r="I206" s="44" t="s">
        <v>416</v>
      </c>
      <c r="J206" s="51">
        <v>3</v>
      </c>
      <c r="K206" s="51">
        <v>3</v>
      </c>
      <c r="L206" s="51">
        <f t="shared" si="42"/>
        <v>54</v>
      </c>
      <c r="M206" s="60" t="str">
        <f t="shared" si="45"/>
        <v>High</v>
      </c>
      <c r="N206" s="83" t="s">
        <v>415</v>
      </c>
      <c r="O206" s="51">
        <v>1</v>
      </c>
      <c r="P206" s="51">
        <v>2</v>
      </c>
      <c r="Q206" s="53">
        <f t="shared" si="39"/>
        <v>12</v>
      </c>
      <c r="R206" s="62" t="str">
        <f t="shared" si="43"/>
        <v>Low</v>
      </c>
      <c r="S206" s="19" t="s">
        <v>417</v>
      </c>
      <c r="T206" s="80" t="s">
        <v>418</v>
      </c>
      <c r="U206" s="55" t="s">
        <v>318</v>
      </c>
      <c r="V206" s="55"/>
      <c r="W206" s="55"/>
      <c r="X206" s="55" t="s">
        <v>292</v>
      </c>
      <c r="Y206" s="55"/>
      <c r="Z206" s="56" t="str">
        <f t="shared" si="44"/>
        <v>Yes</v>
      </c>
      <c r="AA206" s="56" t="str">
        <f t="shared" si="40"/>
        <v>30 May,2023</v>
      </c>
    </row>
    <row r="207" spans="1:27" s="26" customFormat="1" ht="66" x14ac:dyDescent="0.3">
      <c r="A207" s="42"/>
      <c r="B207" s="44" t="s">
        <v>175</v>
      </c>
      <c r="C207" s="40" t="s">
        <v>194</v>
      </c>
      <c r="D207" s="40">
        <v>2</v>
      </c>
      <c r="E207" s="40">
        <v>2</v>
      </c>
      <c r="F207" s="40">
        <v>2</v>
      </c>
      <c r="G207" s="45">
        <v>6</v>
      </c>
      <c r="H207" s="44" t="s">
        <v>211</v>
      </c>
      <c r="I207" s="44" t="s">
        <v>416</v>
      </c>
      <c r="J207" s="51">
        <v>3</v>
      </c>
      <c r="K207" s="51">
        <v>3</v>
      </c>
      <c r="L207" s="51">
        <f t="shared" si="42"/>
        <v>54</v>
      </c>
      <c r="M207" s="60" t="str">
        <f t="shared" si="45"/>
        <v>High</v>
      </c>
      <c r="N207" s="83" t="s">
        <v>415</v>
      </c>
      <c r="O207" s="51">
        <v>1</v>
      </c>
      <c r="P207" s="51">
        <v>2</v>
      </c>
      <c r="Q207" s="53">
        <f t="shared" si="39"/>
        <v>12</v>
      </c>
      <c r="R207" s="62" t="str">
        <f t="shared" si="43"/>
        <v>Low</v>
      </c>
      <c r="S207" s="19" t="s">
        <v>417</v>
      </c>
      <c r="T207" s="80" t="s">
        <v>418</v>
      </c>
      <c r="U207" s="55" t="s">
        <v>318</v>
      </c>
      <c r="V207" s="55"/>
      <c r="W207" s="55"/>
      <c r="X207" s="55" t="s">
        <v>291</v>
      </c>
      <c r="Y207" s="55"/>
      <c r="Z207" s="56" t="str">
        <f t="shared" si="44"/>
        <v>Yes</v>
      </c>
      <c r="AA207" s="56" t="str">
        <f t="shared" si="40"/>
        <v>30 May,2023</v>
      </c>
    </row>
    <row r="208" spans="1:27" s="26" customFormat="1" ht="66" x14ac:dyDescent="0.3">
      <c r="A208" s="42"/>
      <c r="B208" s="44" t="s">
        <v>177</v>
      </c>
      <c r="C208" s="40" t="s">
        <v>135</v>
      </c>
      <c r="D208" s="40">
        <v>2</v>
      </c>
      <c r="E208" s="40">
        <v>2</v>
      </c>
      <c r="F208" s="40">
        <v>2</v>
      </c>
      <c r="G208" s="45">
        <v>6</v>
      </c>
      <c r="H208" s="44" t="s">
        <v>211</v>
      </c>
      <c r="I208" s="44" t="s">
        <v>416</v>
      </c>
      <c r="J208" s="51">
        <v>3</v>
      </c>
      <c r="K208" s="51">
        <v>3</v>
      </c>
      <c r="L208" s="51">
        <f t="shared" si="42"/>
        <v>54</v>
      </c>
      <c r="M208" s="60" t="str">
        <f t="shared" si="45"/>
        <v>High</v>
      </c>
      <c r="N208" s="83" t="s">
        <v>415</v>
      </c>
      <c r="O208" s="51">
        <v>1</v>
      </c>
      <c r="P208" s="51">
        <v>2</v>
      </c>
      <c r="Q208" s="53">
        <f t="shared" si="39"/>
        <v>12</v>
      </c>
      <c r="R208" s="62" t="str">
        <f t="shared" si="43"/>
        <v>Low</v>
      </c>
      <c r="S208" s="19" t="s">
        <v>417</v>
      </c>
      <c r="T208" s="80" t="s">
        <v>418</v>
      </c>
      <c r="U208" s="55" t="s">
        <v>318</v>
      </c>
      <c r="V208" s="55"/>
      <c r="W208" s="55"/>
      <c r="X208" s="55" t="s">
        <v>295</v>
      </c>
      <c r="Y208" s="55"/>
      <c r="Z208" s="56" t="str">
        <f t="shared" si="44"/>
        <v>Yes</v>
      </c>
      <c r="AA208" s="56" t="str">
        <f t="shared" si="40"/>
        <v>30 May,2023</v>
      </c>
    </row>
    <row r="209" spans="1:27" s="26" customFormat="1" ht="151.80000000000001" x14ac:dyDescent="0.3">
      <c r="A209" s="42"/>
      <c r="B209" s="58" t="s">
        <v>64</v>
      </c>
      <c r="C209" s="40" t="s">
        <v>133</v>
      </c>
      <c r="D209" s="40">
        <v>2</v>
      </c>
      <c r="E209" s="40">
        <v>2</v>
      </c>
      <c r="F209" s="40">
        <v>2</v>
      </c>
      <c r="G209" s="45">
        <v>6</v>
      </c>
      <c r="H209" s="42" t="s">
        <v>428</v>
      </c>
      <c r="I209" s="42" t="s">
        <v>205</v>
      </c>
      <c r="J209" s="51">
        <v>2</v>
      </c>
      <c r="K209" s="51">
        <v>2</v>
      </c>
      <c r="L209" s="51">
        <f t="shared" si="42"/>
        <v>24</v>
      </c>
      <c r="M209" s="61" t="str">
        <f t="shared" si="45"/>
        <v>Medium</v>
      </c>
      <c r="N209" s="82" t="s">
        <v>395</v>
      </c>
      <c r="O209" s="51">
        <v>1</v>
      </c>
      <c r="P209" s="51">
        <v>1</v>
      </c>
      <c r="Q209" s="53">
        <f t="shared" si="39"/>
        <v>6</v>
      </c>
      <c r="R209" s="62" t="str">
        <f t="shared" si="43"/>
        <v>Low</v>
      </c>
      <c r="S209" s="81" t="s">
        <v>383</v>
      </c>
      <c r="T209" s="57" t="s">
        <v>212</v>
      </c>
      <c r="U209" s="55" t="s">
        <v>318</v>
      </c>
      <c r="V209" s="55"/>
      <c r="W209" s="55"/>
      <c r="X209" s="55" t="s">
        <v>295</v>
      </c>
      <c r="Y209" s="55"/>
      <c r="Z209" s="56" t="str">
        <f t="shared" si="44"/>
        <v>Yes</v>
      </c>
      <c r="AA209" s="56" t="str">
        <f t="shared" si="40"/>
        <v>30 May,2023</v>
      </c>
    </row>
    <row r="210" spans="1:27" s="26" customFormat="1" ht="54" customHeight="1" x14ac:dyDescent="0.3">
      <c r="A210" s="42"/>
      <c r="B210" s="58" t="s">
        <v>69</v>
      </c>
      <c r="C210" s="40" t="s">
        <v>137</v>
      </c>
      <c r="D210" s="40">
        <v>2</v>
      </c>
      <c r="E210" s="40">
        <v>2</v>
      </c>
      <c r="F210" s="40">
        <v>2</v>
      </c>
      <c r="G210" s="45">
        <v>6</v>
      </c>
      <c r="H210" s="44" t="s">
        <v>211</v>
      </c>
      <c r="I210" s="44" t="s">
        <v>416</v>
      </c>
      <c r="J210" s="51">
        <v>3</v>
      </c>
      <c r="K210" s="51">
        <v>3</v>
      </c>
      <c r="L210" s="51">
        <f t="shared" si="42"/>
        <v>54</v>
      </c>
      <c r="M210" s="60" t="str">
        <f t="shared" si="45"/>
        <v>High</v>
      </c>
      <c r="N210" s="83" t="s">
        <v>415</v>
      </c>
      <c r="O210" s="51">
        <v>1</v>
      </c>
      <c r="P210" s="51">
        <v>2</v>
      </c>
      <c r="Q210" s="53">
        <f t="shared" si="39"/>
        <v>12</v>
      </c>
      <c r="R210" s="62" t="str">
        <f t="shared" si="43"/>
        <v>Low</v>
      </c>
      <c r="S210" s="19" t="s">
        <v>417</v>
      </c>
      <c r="T210" s="80" t="s">
        <v>418</v>
      </c>
      <c r="U210" s="55" t="s">
        <v>318</v>
      </c>
      <c r="V210" s="55"/>
      <c r="W210" s="55"/>
      <c r="X210" s="55" t="s">
        <v>295</v>
      </c>
      <c r="Y210" s="55"/>
      <c r="Z210" s="56" t="str">
        <f t="shared" si="44"/>
        <v>Yes</v>
      </c>
      <c r="AA210" s="56" t="str">
        <f t="shared" si="40"/>
        <v>30 May,2023</v>
      </c>
    </row>
    <row r="211" spans="1:27" s="26" customFormat="1" ht="66" x14ac:dyDescent="0.3">
      <c r="A211" s="42"/>
      <c r="B211" s="44" t="s">
        <v>61</v>
      </c>
      <c r="C211" s="40" t="s">
        <v>207</v>
      </c>
      <c r="D211" s="40">
        <v>2</v>
      </c>
      <c r="E211" s="40">
        <v>2</v>
      </c>
      <c r="F211" s="40">
        <v>2</v>
      </c>
      <c r="G211" s="45">
        <v>6</v>
      </c>
      <c r="H211" s="44" t="s">
        <v>211</v>
      </c>
      <c r="I211" s="44" t="s">
        <v>416</v>
      </c>
      <c r="J211" s="51">
        <v>3</v>
      </c>
      <c r="K211" s="51">
        <v>3</v>
      </c>
      <c r="L211" s="51">
        <f t="shared" si="42"/>
        <v>54</v>
      </c>
      <c r="M211" s="60" t="str">
        <f t="shared" si="45"/>
        <v>High</v>
      </c>
      <c r="N211" s="83" t="s">
        <v>415</v>
      </c>
      <c r="O211" s="51">
        <v>1</v>
      </c>
      <c r="P211" s="51">
        <v>2</v>
      </c>
      <c r="Q211" s="53">
        <f t="shared" si="39"/>
        <v>12</v>
      </c>
      <c r="R211" s="62" t="str">
        <f t="shared" si="43"/>
        <v>Low</v>
      </c>
      <c r="S211" s="19" t="s">
        <v>417</v>
      </c>
      <c r="T211" s="80" t="s">
        <v>418</v>
      </c>
      <c r="U211" s="55" t="s">
        <v>318</v>
      </c>
      <c r="V211" s="55"/>
      <c r="W211" s="55"/>
      <c r="X211" s="55" t="s">
        <v>296</v>
      </c>
      <c r="Y211" s="55"/>
      <c r="Z211" s="56" t="str">
        <f t="shared" si="44"/>
        <v>Yes</v>
      </c>
      <c r="AA211" s="56" t="str">
        <f t="shared" si="40"/>
        <v>30 May,2023</v>
      </c>
    </row>
    <row r="212" spans="1:27" s="26" customFormat="1" ht="151.80000000000001" x14ac:dyDescent="0.3">
      <c r="A212" s="42"/>
      <c r="B212" s="44" t="s">
        <v>81</v>
      </c>
      <c r="C212" s="40" t="s">
        <v>144</v>
      </c>
      <c r="D212" s="40">
        <v>2</v>
      </c>
      <c r="E212" s="40">
        <v>2</v>
      </c>
      <c r="F212" s="40">
        <v>2</v>
      </c>
      <c r="G212" s="45">
        <v>6</v>
      </c>
      <c r="H212" s="42" t="s">
        <v>428</v>
      </c>
      <c r="I212" s="42" t="s">
        <v>205</v>
      </c>
      <c r="J212" s="51">
        <v>2</v>
      </c>
      <c r="K212" s="51">
        <v>2</v>
      </c>
      <c r="L212" s="51">
        <f t="shared" si="42"/>
        <v>24</v>
      </c>
      <c r="M212" s="61" t="str">
        <f t="shared" si="45"/>
        <v>Medium</v>
      </c>
      <c r="N212" s="82" t="s">
        <v>395</v>
      </c>
      <c r="O212" s="51">
        <v>1</v>
      </c>
      <c r="P212" s="51">
        <v>1</v>
      </c>
      <c r="Q212" s="53">
        <f t="shared" si="39"/>
        <v>6</v>
      </c>
      <c r="R212" s="62" t="str">
        <f t="shared" si="43"/>
        <v>Low</v>
      </c>
      <c r="S212" s="81" t="s">
        <v>383</v>
      </c>
      <c r="T212" s="57" t="s">
        <v>212</v>
      </c>
      <c r="U212" s="55" t="s">
        <v>318</v>
      </c>
      <c r="V212" s="55"/>
      <c r="W212" s="55"/>
      <c r="X212" s="55" t="s">
        <v>293</v>
      </c>
      <c r="Y212" s="55"/>
      <c r="Z212" s="56" t="str">
        <f t="shared" si="44"/>
        <v>Yes</v>
      </c>
      <c r="AA212" s="56" t="str">
        <f t="shared" si="40"/>
        <v>30 May,2023</v>
      </c>
    </row>
    <row r="213" spans="1:27" s="26" customFormat="1" ht="66" x14ac:dyDescent="0.3">
      <c r="A213" s="42"/>
      <c r="B213" s="44" t="s">
        <v>80</v>
      </c>
      <c r="C213" s="40" t="s">
        <v>143</v>
      </c>
      <c r="D213" s="40">
        <v>2</v>
      </c>
      <c r="E213" s="40">
        <v>2</v>
      </c>
      <c r="F213" s="40">
        <v>2</v>
      </c>
      <c r="G213" s="45">
        <v>6</v>
      </c>
      <c r="H213" s="44" t="s">
        <v>211</v>
      </c>
      <c r="I213" s="44" t="s">
        <v>416</v>
      </c>
      <c r="J213" s="51">
        <v>3</v>
      </c>
      <c r="K213" s="51">
        <v>3</v>
      </c>
      <c r="L213" s="51">
        <f t="shared" si="42"/>
        <v>54</v>
      </c>
      <c r="M213" s="60" t="str">
        <f t="shared" si="45"/>
        <v>High</v>
      </c>
      <c r="N213" s="83" t="s">
        <v>415</v>
      </c>
      <c r="O213" s="51">
        <v>1</v>
      </c>
      <c r="P213" s="51">
        <v>2</v>
      </c>
      <c r="Q213" s="53">
        <f t="shared" si="39"/>
        <v>12</v>
      </c>
      <c r="R213" s="62" t="str">
        <f t="shared" si="43"/>
        <v>Low</v>
      </c>
      <c r="S213" s="19" t="s">
        <v>417</v>
      </c>
      <c r="T213" s="80" t="s">
        <v>418</v>
      </c>
      <c r="U213" s="55" t="s">
        <v>318</v>
      </c>
      <c r="V213" s="55"/>
      <c r="W213" s="55"/>
      <c r="X213" s="55" t="s">
        <v>293</v>
      </c>
      <c r="Y213" s="55"/>
      <c r="Z213" s="56" t="str">
        <f t="shared" si="44"/>
        <v>Yes</v>
      </c>
      <c r="AA213" s="56" t="str">
        <f t="shared" si="40"/>
        <v>30 May,2023</v>
      </c>
    </row>
    <row r="214" spans="1:27" s="26" customFormat="1" ht="27.75" customHeight="1" x14ac:dyDescent="0.3">
      <c r="A214" s="41"/>
      <c r="B214" s="44" t="s">
        <v>59</v>
      </c>
      <c r="C214" s="40" t="s">
        <v>120</v>
      </c>
      <c r="D214" s="40">
        <v>3</v>
      </c>
      <c r="E214" s="40">
        <v>3</v>
      </c>
      <c r="F214" s="40">
        <v>3</v>
      </c>
      <c r="G214" s="45">
        <v>9</v>
      </c>
      <c r="H214" s="42" t="s">
        <v>203</v>
      </c>
      <c r="I214" s="42" t="s">
        <v>205</v>
      </c>
      <c r="J214" s="51">
        <v>2</v>
      </c>
      <c r="K214" s="51">
        <v>2</v>
      </c>
      <c r="L214" s="51">
        <f t="shared" si="42"/>
        <v>36</v>
      </c>
      <c r="M214" s="61" t="str">
        <f t="shared" si="45"/>
        <v>Medium</v>
      </c>
      <c r="N214" s="82" t="s">
        <v>395</v>
      </c>
      <c r="O214" s="51">
        <v>1</v>
      </c>
      <c r="P214" s="51">
        <v>1</v>
      </c>
      <c r="Q214" s="53">
        <f t="shared" si="39"/>
        <v>9</v>
      </c>
      <c r="R214" s="62" t="str">
        <f t="shared" si="43"/>
        <v>Low</v>
      </c>
      <c r="S214" s="81" t="s">
        <v>383</v>
      </c>
      <c r="T214" s="57" t="s">
        <v>212</v>
      </c>
      <c r="U214" s="55" t="s">
        <v>318</v>
      </c>
      <c r="V214" s="55"/>
      <c r="W214" s="55"/>
      <c r="X214" s="55" t="s">
        <v>292</v>
      </c>
      <c r="Y214" s="55"/>
      <c r="Z214" s="56" t="str">
        <f t="shared" si="44"/>
        <v>Yes</v>
      </c>
      <c r="AA214" s="56" t="str">
        <f t="shared" si="40"/>
        <v>30 May,2023</v>
      </c>
    </row>
    <row r="215" spans="1:27" s="26" customFormat="1" ht="151.80000000000001" x14ac:dyDescent="0.3">
      <c r="A215" s="41"/>
      <c r="B215" s="44" t="s">
        <v>59</v>
      </c>
      <c r="C215" s="40" t="s">
        <v>122</v>
      </c>
      <c r="D215" s="40">
        <v>3</v>
      </c>
      <c r="E215" s="40">
        <v>3</v>
      </c>
      <c r="F215" s="40">
        <v>3</v>
      </c>
      <c r="G215" s="45">
        <v>9</v>
      </c>
      <c r="H215" s="42" t="s">
        <v>428</v>
      </c>
      <c r="I215" s="42" t="s">
        <v>205</v>
      </c>
      <c r="J215" s="51">
        <v>2</v>
      </c>
      <c r="K215" s="51">
        <v>2</v>
      </c>
      <c r="L215" s="51">
        <f t="shared" si="42"/>
        <v>36</v>
      </c>
      <c r="M215" s="61" t="str">
        <f t="shared" si="45"/>
        <v>Medium</v>
      </c>
      <c r="N215" s="82" t="s">
        <v>395</v>
      </c>
      <c r="O215" s="51">
        <v>1</v>
      </c>
      <c r="P215" s="51">
        <v>1</v>
      </c>
      <c r="Q215" s="53">
        <f t="shared" si="39"/>
        <v>9</v>
      </c>
      <c r="R215" s="62" t="str">
        <f t="shared" si="43"/>
        <v>Low</v>
      </c>
      <c r="S215" s="81" t="s">
        <v>383</v>
      </c>
      <c r="T215" s="57" t="s">
        <v>212</v>
      </c>
      <c r="U215" s="55" t="s">
        <v>318</v>
      </c>
      <c r="V215" s="55"/>
      <c r="W215" s="55"/>
      <c r="X215" s="55" t="s">
        <v>292</v>
      </c>
      <c r="Y215" s="55"/>
      <c r="Z215" s="56" t="str">
        <f t="shared" si="44"/>
        <v>Yes</v>
      </c>
      <c r="AA215" s="56" t="str">
        <f t="shared" si="40"/>
        <v>30 May,2023</v>
      </c>
    </row>
    <row r="216" spans="1:27" s="26" customFormat="1" ht="151.80000000000001" x14ac:dyDescent="0.3">
      <c r="A216" s="42"/>
      <c r="B216" s="44" t="s">
        <v>59</v>
      </c>
      <c r="C216" s="40" t="s">
        <v>124</v>
      </c>
      <c r="D216" s="40">
        <v>3</v>
      </c>
      <c r="E216" s="40">
        <v>3</v>
      </c>
      <c r="F216" s="40">
        <v>3</v>
      </c>
      <c r="G216" s="45">
        <v>9</v>
      </c>
      <c r="H216" s="42" t="s">
        <v>428</v>
      </c>
      <c r="I216" s="42" t="s">
        <v>205</v>
      </c>
      <c r="J216" s="51">
        <v>2</v>
      </c>
      <c r="K216" s="51">
        <v>2</v>
      </c>
      <c r="L216" s="51">
        <f t="shared" si="42"/>
        <v>36</v>
      </c>
      <c r="M216" s="61" t="str">
        <f t="shared" si="45"/>
        <v>Medium</v>
      </c>
      <c r="N216" s="82" t="s">
        <v>395</v>
      </c>
      <c r="O216" s="51">
        <v>1</v>
      </c>
      <c r="P216" s="51">
        <v>1</v>
      </c>
      <c r="Q216" s="53">
        <f t="shared" si="39"/>
        <v>9</v>
      </c>
      <c r="R216" s="62" t="str">
        <f t="shared" si="43"/>
        <v>Low</v>
      </c>
      <c r="S216" s="81" t="s">
        <v>383</v>
      </c>
      <c r="T216" s="57" t="s">
        <v>212</v>
      </c>
      <c r="U216" s="55" t="s">
        <v>318</v>
      </c>
      <c r="V216" s="55"/>
      <c r="W216" s="55"/>
      <c r="X216" s="55" t="s">
        <v>292</v>
      </c>
      <c r="Y216" s="55"/>
      <c r="Z216" s="56" t="str">
        <f t="shared" si="44"/>
        <v>Yes</v>
      </c>
      <c r="AA216" s="56" t="str">
        <f t="shared" si="40"/>
        <v>30 May,2023</v>
      </c>
    </row>
    <row r="217" spans="1:27" s="26" customFormat="1" ht="151.80000000000001" x14ac:dyDescent="0.3">
      <c r="A217" s="41"/>
      <c r="B217" s="44" t="s">
        <v>59</v>
      </c>
      <c r="C217" s="40" t="s">
        <v>125</v>
      </c>
      <c r="D217" s="40">
        <v>3</v>
      </c>
      <c r="E217" s="40">
        <v>3</v>
      </c>
      <c r="F217" s="40">
        <v>3</v>
      </c>
      <c r="G217" s="45">
        <v>9</v>
      </c>
      <c r="H217" s="42" t="s">
        <v>428</v>
      </c>
      <c r="I217" s="42" t="s">
        <v>205</v>
      </c>
      <c r="J217" s="51">
        <v>2</v>
      </c>
      <c r="K217" s="51">
        <v>2</v>
      </c>
      <c r="L217" s="51">
        <f t="shared" si="42"/>
        <v>36</v>
      </c>
      <c r="M217" s="61" t="str">
        <f t="shared" si="45"/>
        <v>Medium</v>
      </c>
      <c r="N217" s="82" t="s">
        <v>395</v>
      </c>
      <c r="O217" s="51">
        <v>1</v>
      </c>
      <c r="P217" s="51">
        <v>1</v>
      </c>
      <c r="Q217" s="53">
        <f t="shared" si="39"/>
        <v>9</v>
      </c>
      <c r="R217" s="62" t="str">
        <f t="shared" si="43"/>
        <v>Low</v>
      </c>
      <c r="S217" s="81" t="s">
        <v>383</v>
      </c>
      <c r="T217" s="57" t="s">
        <v>212</v>
      </c>
      <c r="U217" s="55" t="s">
        <v>318</v>
      </c>
      <c r="V217" s="55"/>
      <c r="W217" s="55"/>
      <c r="X217" s="55" t="s">
        <v>292</v>
      </c>
      <c r="Y217" s="55"/>
      <c r="Z217" s="56" t="str">
        <f t="shared" si="44"/>
        <v>Yes</v>
      </c>
      <c r="AA217" s="56" t="str">
        <f t="shared" si="40"/>
        <v>30 May,2023</v>
      </c>
    </row>
    <row r="218" spans="1:27" s="22" customFormat="1" ht="151.80000000000001" x14ac:dyDescent="0.3">
      <c r="A218" s="41"/>
      <c r="B218" s="44" t="s">
        <v>59</v>
      </c>
      <c r="C218" s="40" t="s">
        <v>127</v>
      </c>
      <c r="D218" s="40">
        <v>3</v>
      </c>
      <c r="E218" s="40">
        <v>3</v>
      </c>
      <c r="F218" s="40">
        <v>3</v>
      </c>
      <c r="G218" s="45">
        <v>9</v>
      </c>
      <c r="H218" s="42" t="s">
        <v>428</v>
      </c>
      <c r="I218" s="42" t="s">
        <v>205</v>
      </c>
      <c r="J218" s="51">
        <v>2</v>
      </c>
      <c r="K218" s="51">
        <v>2</v>
      </c>
      <c r="L218" s="51">
        <f t="shared" si="42"/>
        <v>36</v>
      </c>
      <c r="M218" s="61" t="str">
        <f t="shared" si="45"/>
        <v>Medium</v>
      </c>
      <c r="N218" s="82" t="s">
        <v>395</v>
      </c>
      <c r="O218" s="51">
        <v>1</v>
      </c>
      <c r="P218" s="51">
        <v>1</v>
      </c>
      <c r="Q218" s="53">
        <f t="shared" si="39"/>
        <v>9</v>
      </c>
      <c r="R218" s="62" t="str">
        <f t="shared" si="43"/>
        <v>Low</v>
      </c>
      <c r="S218" s="81" t="s">
        <v>383</v>
      </c>
      <c r="T218" s="57" t="s">
        <v>212</v>
      </c>
      <c r="U218" s="55" t="s">
        <v>318</v>
      </c>
      <c r="V218" s="55"/>
      <c r="W218" s="55"/>
      <c r="X218" s="55" t="s">
        <v>292</v>
      </c>
      <c r="Y218" s="55"/>
      <c r="Z218" s="56" t="str">
        <f t="shared" si="44"/>
        <v>Yes</v>
      </c>
      <c r="AA218" s="56" t="str">
        <f t="shared" si="40"/>
        <v>30 May,2023</v>
      </c>
    </row>
    <row r="219" spans="1:27" s="22" customFormat="1" ht="151.80000000000001" x14ac:dyDescent="0.3">
      <c r="A219" s="42"/>
      <c r="B219" s="44" t="s">
        <v>59</v>
      </c>
      <c r="C219" s="40" t="s">
        <v>129</v>
      </c>
      <c r="D219" s="40">
        <v>3</v>
      </c>
      <c r="E219" s="40">
        <v>3</v>
      </c>
      <c r="F219" s="40">
        <v>3</v>
      </c>
      <c r="G219" s="45">
        <v>9</v>
      </c>
      <c r="H219" s="42" t="s">
        <v>203</v>
      </c>
      <c r="I219" s="42" t="s">
        <v>205</v>
      </c>
      <c r="J219" s="51">
        <v>2</v>
      </c>
      <c r="K219" s="51">
        <v>2</v>
      </c>
      <c r="L219" s="51">
        <f t="shared" si="42"/>
        <v>36</v>
      </c>
      <c r="M219" s="61" t="str">
        <f t="shared" si="45"/>
        <v>Medium</v>
      </c>
      <c r="N219" s="82" t="s">
        <v>395</v>
      </c>
      <c r="O219" s="51">
        <v>1</v>
      </c>
      <c r="P219" s="51">
        <v>1</v>
      </c>
      <c r="Q219" s="53">
        <f t="shared" si="39"/>
        <v>9</v>
      </c>
      <c r="R219" s="62" t="str">
        <f t="shared" si="43"/>
        <v>Low</v>
      </c>
      <c r="S219" s="81" t="s">
        <v>383</v>
      </c>
      <c r="T219" s="57" t="s">
        <v>212</v>
      </c>
      <c r="U219" s="55" t="s">
        <v>318</v>
      </c>
      <c r="V219" s="55"/>
      <c r="W219" s="55"/>
      <c r="X219" s="55" t="s">
        <v>292</v>
      </c>
      <c r="Y219" s="55"/>
      <c r="Z219" s="56" t="str">
        <f t="shared" si="44"/>
        <v>Yes</v>
      </c>
      <c r="AA219" s="56" t="str">
        <f t="shared" si="40"/>
        <v>30 May,2023</v>
      </c>
    </row>
    <row r="220" spans="1:27" s="22" customFormat="1" ht="151.80000000000001" x14ac:dyDescent="0.3">
      <c r="A220" s="42"/>
      <c r="B220" s="44" t="s">
        <v>58</v>
      </c>
      <c r="C220" s="40" t="s">
        <v>117</v>
      </c>
      <c r="D220" s="40">
        <v>3</v>
      </c>
      <c r="E220" s="40">
        <v>3</v>
      </c>
      <c r="F220" s="40">
        <v>3</v>
      </c>
      <c r="G220" s="45">
        <v>9</v>
      </c>
      <c r="H220" s="44" t="s">
        <v>203</v>
      </c>
      <c r="I220" s="42" t="s">
        <v>205</v>
      </c>
      <c r="J220" s="51">
        <v>2</v>
      </c>
      <c r="K220" s="51">
        <v>2</v>
      </c>
      <c r="L220" s="51">
        <f t="shared" si="42"/>
        <v>36</v>
      </c>
      <c r="M220" s="61" t="str">
        <f t="shared" si="45"/>
        <v>Medium</v>
      </c>
      <c r="N220" s="82" t="s">
        <v>395</v>
      </c>
      <c r="O220" s="51">
        <v>1</v>
      </c>
      <c r="P220" s="51">
        <v>1</v>
      </c>
      <c r="Q220" s="53">
        <f t="shared" si="39"/>
        <v>9</v>
      </c>
      <c r="R220" s="62" t="str">
        <f t="shared" si="43"/>
        <v>Low</v>
      </c>
      <c r="S220" s="81" t="s">
        <v>383</v>
      </c>
      <c r="T220" s="57" t="s">
        <v>212</v>
      </c>
      <c r="U220" s="55" t="s">
        <v>318</v>
      </c>
      <c r="V220" s="55"/>
      <c r="W220" s="55"/>
      <c r="X220" s="55" t="s">
        <v>292</v>
      </c>
      <c r="Y220" s="55"/>
      <c r="Z220" s="56" t="str">
        <f t="shared" si="44"/>
        <v>Yes</v>
      </c>
      <c r="AA220" s="56" t="str">
        <f t="shared" si="40"/>
        <v>30 May,2023</v>
      </c>
    </row>
    <row r="221" spans="1:27" s="22" customFormat="1" ht="151.80000000000001" x14ac:dyDescent="0.3">
      <c r="A221" s="42"/>
      <c r="B221" s="44" t="s">
        <v>57</v>
      </c>
      <c r="C221" s="40" t="s">
        <v>111</v>
      </c>
      <c r="D221" s="40">
        <v>3</v>
      </c>
      <c r="E221" s="40">
        <v>3</v>
      </c>
      <c r="F221" s="40">
        <v>3</v>
      </c>
      <c r="G221" s="45">
        <v>9</v>
      </c>
      <c r="H221" s="42" t="s">
        <v>428</v>
      </c>
      <c r="I221" s="42" t="s">
        <v>205</v>
      </c>
      <c r="J221" s="51">
        <v>2</v>
      </c>
      <c r="K221" s="51">
        <v>2</v>
      </c>
      <c r="L221" s="51">
        <f t="shared" si="42"/>
        <v>36</v>
      </c>
      <c r="M221" s="61" t="str">
        <f t="shared" si="45"/>
        <v>Medium</v>
      </c>
      <c r="N221" s="82" t="s">
        <v>395</v>
      </c>
      <c r="O221" s="51">
        <v>1</v>
      </c>
      <c r="P221" s="51">
        <v>1</v>
      </c>
      <c r="Q221" s="53">
        <f t="shared" si="39"/>
        <v>9</v>
      </c>
      <c r="R221" s="62" t="str">
        <f t="shared" si="43"/>
        <v>Low</v>
      </c>
      <c r="S221" s="81" t="s">
        <v>383</v>
      </c>
      <c r="T221" s="57" t="s">
        <v>212</v>
      </c>
      <c r="U221" s="55" t="s">
        <v>318</v>
      </c>
      <c r="V221" s="55"/>
      <c r="W221" s="55"/>
      <c r="X221" s="55" t="s">
        <v>292</v>
      </c>
      <c r="Y221" s="55"/>
      <c r="Z221" s="56" t="str">
        <f t="shared" si="44"/>
        <v>Yes</v>
      </c>
      <c r="AA221" s="56" t="str">
        <f t="shared" si="40"/>
        <v>30 May,2023</v>
      </c>
    </row>
    <row r="222" spans="1:27" s="22" customFormat="1" ht="151.80000000000001" x14ac:dyDescent="0.3">
      <c r="A222" s="43"/>
      <c r="B222" s="58" t="s">
        <v>57</v>
      </c>
      <c r="C222" s="40" t="s">
        <v>113</v>
      </c>
      <c r="D222" s="40">
        <v>3</v>
      </c>
      <c r="E222" s="40">
        <v>3</v>
      </c>
      <c r="F222" s="40">
        <v>3</v>
      </c>
      <c r="G222" s="45">
        <v>9</v>
      </c>
      <c r="H222" s="42" t="s">
        <v>428</v>
      </c>
      <c r="I222" s="42" t="s">
        <v>205</v>
      </c>
      <c r="J222" s="51">
        <v>2</v>
      </c>
      <c r="K222" s="51">
        <v>2</v>
      </c>
      <c r="L222" s="51">
        <f t="shared" si="42"/>
        <v>36</v>
      </c>
      <c r="M222" s="61" t="str">
        <f t="shared" si="45"/>
        <v>Medium</v>
      </c>
      <c r="N222" s="82" t="s">
        <v>395</v>
      </c>
      <c r="O222" s="51">
        <v>1</v>
      </c>
      <c r="P222" s="51">
        <v>1</v>
      </c>
      <c r="Q222" s="53">
        <f t="shared" si="39"/>
        <v>9</v>
      </c>
      <c r="R222" s="62" t="str">
        <f t="shared" si="43"/>
        <v>Low</v>
      </c>
      <c r="S222" s="81" t="s">
        <v>383</v>
      </c>
      <c r="T222" s="57" t="s">
        <v>212</v>
      </c>
      <c r="U222" s="55" t="s">
        <v>318</v>
      </c>
      <c r="V222" s="55"/>
      <c r="W222" s="55"/>
      <c r="X222" s="55" t="s">
        <v>292</v>
      </c>
      <c r="Y222" s="55"/>
      <c r="Z222" s="56" t="str">
        <f t="shared" si="44"/>
        <v>Yes</v>
      </c>
      <c r="AA222" s="56" t="str">
        <f t="shared" si="40"/>
        <v>30 May,2023</v>
      </c>
    </row>
    <row r="223" spans="1:27" s="22" customFormat="1" ht="151.80000000000001" x14ac:dyDescent="0.3">
      <c r="A223" s="42"/>
      <c r="B223" s="44" t="s">
        <v>57</v>
      </c>
      <c r="C223" s="40" t="s">
        <v>114</v>
      </c>
      <c r="D223" s="40">
        <v>3</v>
      </c>
      <c r="E223" s="40">
        <v>3</v>
      </c>
      <c r="F223" s="40">
        <v>3</v>
      </c>
      <c r="G223" s="45">
        <v>9</v>
      </c>
      <c r="H223" s="42" t="s">
        <v>428</v>
      </c>
      <c r="I223" s="42" t="s">
        <v>205</v>
      </c>
      <c r="J223" s="51">
        <v>2</v>
      </c>
      <c r="K223" s="51">
        <v>2</v>
      </c>
      <c r="L223" s="51">
        <f t="shared" si="42"/>
        <v>36</v>
      </c>
      <c r="M223" s="61" t="str">
        <f t="shared" si="45"/>
        <v>Medium</v>
      </c>
      <c r="N223" s="82" t="s">
        <v>395</v>
      </c>
      <c r="O223" s="51">
        <v>1</v>
      </c>
      <c r="P223" s="51">
        <v>1</v>
      </c>
      <c r="Q223" s="53">
        <f t="shared" si="39"/>
        <v>9</v>
      </c>
      <c r="R223" s="62" t="str">
        <f t="shared" si="43"/>
        <v>Low</v>
      </c>
      <c r="S223" s="81" t="s">
        <v>383</v>
      </c>
      <c r="T223" s="57" t="s">
        <v>212</v>
      </c>
      <c r="U223" s="55" t="s">
        <v>318</v>
      </c>
      <c r="V223" s="55"/>
      <c r="W223" s="55"/>
      <c r="X223" s="55" t="s">
        <v>292</v>
      </c>
      <c r="Y223" s="55"/>
      <c r="Z223" s="56" t="str">
        <f t="shared" si="44"/>
        <v>Yes</v>
      </c>
      <c r="AA223" s="56" t="str">
        <f t="shared" si="40"/>
        <v>30 May,2023</v>
      </c>
    </row>
    <row r="224" spans="1:27" s="22" customFormat="1" ht="151.80000000000001" x14ac:dyDescent="0.3">
      <c r="A224" s="42"/>
      <c r="B224" s="44" t="s">
        <v>95</v>
      </c>
      <c r="C224" s="40" t="s">
        <v>156</v>
      </c>
      <c r="D224" s="40">
        <v>3</v>
      </c>
      <c r="E224" s="40">
        <v>3</v>
      </c>
      <c r="F224" s="40">
        <v>3</v>
      </c>
      <c r="G224" s="45">
        <v>9</v>
      </c>
      <c r="H224" s="44" t="s">
        <v>203</v>
      </c>
      <c r="I224" s="42" t="s">
        <v>205</v>
      </c>
      <c r="J224" s="51">
        <v>2</v>
      </c>
      <c r="K224" s="51">
        <v>2</v>
      </c>
      <c r="L224" s="51">
        <f t="shared" si="42"/>
        <v>36</v>
      </c>
      <c r="M224" s="61" t="str">
        <f t="shared" si="45"/>
        <v>Medium</v>
      </c>
      <c r="N224" s="82" t="s">
        <v>395</v>
      </c>
      <c r="O224" s="51">
        <v>1</v>
      </c>
      <c r="P224" s="51">
        <v>1</v>
      </c>
      <c r="Q224" s="53">
        <f t="shared" si="39"/>
        <v>9</v>
      </c>
      <c r="R224" s="62" t="str">
        <f t="shared" si="43"/>
        <v>Low</v>
      </c>
      <c r="S224" s="81" t="s">
        <v>383</v>
      </c>
      <c r="T224" s="57" t="s">
        <v>212</v>
      </c>
      <c r="U224" s="55" t="s">
        <v>318</v>
      </c>
      <c r="V224" s="55"/>
      <c r="W224" s="55"/>
      <c r="X224" s="55" t="s">
        <v>292</v>
      </c>
      <c r="Y224" s="55"/>
      <c r="Z224" s="56" t="str">
        <f t="shared" si="44"/>
        <v>Yes</v>
      </c>
      <c r="AA224" s="56" t="str">
        <f t="shared" si="40"/>
        <v>30 May,2023</v>
      </c>
    </row>
    <row r="225" spans="1:27" s="22" customFormat="1" ht="66" x14ac:dyDescent="0.3">
      <c r="A225" s="42"/>
      <c r="B225" s="44" t="s">
        <v>95</v>
      </c>
      <c r="C225" s="40" t="s">
        <v>156</v>
      </c>
      <c r="D225" s="40">
        <v>3</v>
      </c>
      <c r="E225" s="40">
        <v>3</v>
      </c>
      <c r="F225" s="40">
        <v>3</v>
      </c>
      <c r="G225" s="45">
        <v>9</v>
      </c>
      <c r="H225" s="44" t="s">
        <v>211</v>
      </c>
      <c r="I225" s="44" t="s">
        <v>416</v>
      </c>
      <c r="J225" s="51">
        <v>3</v>
      </c>
      <c r="K225" s="51">
        <v>3</v>
      </c>
      <c r="L225" s="51">
        <f t="shared" si="42"/>
        <v>81</v>
      </c>
      <c r="M225" s="60" t="str">
        <f t="shared" si="45"/>
        <v>High</v>
      </c>
      <c r="N225" s="83" t="s">
        <v>415</v>
      </c>
      <c r="O225" s="51">
        <v>1</v>
      </c>
      <c r="P225" s="51">
        <v>2</v>
      </c>
      <c r="Q225" s="53">
        <f t="shared" si="39"/>
        <v>18</v>
      </c>
      <c r="R225" s="62" t="str">
        <f t="shared" si="43"/>
        <v>Low</v>
      </c>
      <c r="S225" s="19" t="s">
        <v>417</v>
      </c>
      <c r="T225" s="80" t="s">
        <v>418</v>
      </c>
      <c r="U225" s="55" t="s">
        <v>318</v>
      </c>
      <c r="V225" s="55"/>
      <c r="W225" s="55"/>
      <c r="X225" s="55" t="s">
        <v>292</v>
      </c>
      <c r="Y225" s="55"/>
      <c r="Z225" s="56" t="str">
        <f t="shared" si="44"/>
        <v>Yes</v>
      </c>
      <c r="AA225" s="56" t="str">
        <f t="shared" si="40"/>
        <v>30 May,2023</v>
      </c>
    </row>
    <row r="226" spans="1:27" s="22" customFormat="1" ht="151.80000000000001" x14ac:dyDescent="0.3">
      <c r="A226" s="41"/>
      <c r="B226" s="44" t="s">
        <v>94</v>
      </c>
      <c r="C226" s="40" t="s">
        <v>155</v>
      </c>
      <c r="D226" s="40">
        <v>3</v>
      </c>
      <c r="E226" s="40">
        <v>3</v>
      </c>
      <c r="F226" s="40">
        <v>3</v>
      </c>
      <c r="G226" s="45">
        <v>9</v>
      </c>
      <c r="H226" s="44" t="s">
        <v>203</v>
      </c>
      <c r="I226" s="42" t="s">
        <v>205</v>
      </c>
      <c r="J226" s="51">
        <v>2</v>
      </c>
      <c r="K226" s="51">
        <v>2</v>
      </c>
      <c r="L226" s="51">
        <f t="shared" si="42"/>
        <v>36</v>
      </c>
      <c r="M226" s="61" t="str">
        <f t="shared" si="45"/>
        <v>Medium</v>
      </c>
      <c r="N226" s="82" t="s">
        <v>395</v>
      </c>
      <c r="O226" s="51">
        <v>1</v>
      </c>
      <c r="P226" s="51">
        <v>1</v>
      </c>
      <c r="Q226" s="53">
        <f t="shared" ref="Q226:Q241" si="46">O226*P226*G226</f>
        <v>9</v>
      </c>
      <c r="R226" s="62" t="str">
        <f t="shared" si="43"/>
        <v>Low</v>
      </c>
      <c r="S226" s="81" t="s">
        <v>383</v>
      </c>
      <c r="T226" s="57" t="s">
        <v>212</v>
      </c>
      <c r="U226" s="55" t="s">
        <v>318</v>
      </c>
      <c r="V226" s="55"/>
      <c r="W226" s="55"/>
      <c r="X226" s="55" t="s">
        <v>292</v>
      </c>
      <c r="Y226" s="55"/>
      <c r="Z226" s="56" t="str">
        <f t="shared" si="44"/>
        <v>Yes</v>
      </c>
      <c r="AA226" s="56" t="str">
        <f t="shared" si="40"/>
        <v>30 May,2023</v>
      </c>
    </row>
    <row r="227" spans="1:27" s="26" customFormat="1" ht="151.80000000000001" x14ac:dyDescent="0.3">
      <c r="A227" s="42"/>
      <c r="B227" s="44" t="s">
        <v>56</v>
      </c>
      <c r="C227" s="40" t="s">
        <v>109</v>
      </c>
      <c r="D227" s="40">
        <v>3</v>
      </c>
      <c r="E227" s="40">
        <v>3</v>
      </c>
      <c r="F227" s="40">
        <v>3</v>
      </c>
      <c r="G227" s="45">
        <v>9</v>
      </c>
      <c r="H227" s="42" t="s">
        <v>428</v>
      </c>
      <c r="I227" s="42" t="s">
        <v>205</v>
      </c>
      <c r="J227" s="51">
        <v>2</v>
      </c>
      <c r="K227" s="51">
        <v>2</v>
      </c>
      <c r="L227" s="51">
        <f t="shared" si="42"/>
        <v>36</v>
      </c>
      <c r="M227" s="61" t="str">
        <f t="shared" si="45"/>
        <v>Medium</v>
      </c>
      <c r="N227" s="82" t="s">
        <v>395</v>
      </c>
      <c r="O227" s="51">
        <v>1</v>
      </c>
      <c r="P227" s="51">
        <v>1</v>
      </c>
      <c r="Q227" s="53">
        <f t="shared" si="46"/>
        <v>9</v>
      </c>
      <c r="R227" s="62" t="str">
        <f t="shared" si="43"/>
        <v>Low</v>
      </c>
      <c r="S227" s="81" t="s">
        <v>383</v>
      </c>
      <c r="T227" s="57" t="s">
        <v>212</v>
      </c>
      <c r="U227" s="55" t="s">
        <v>318</v>
      </c>
      <c r="V227" s="55"/>
      <c r="W227" s="55"/>
      <c r="X227" s="55" t="s">
        <v>292</v>
      </c>
      <c r="Y227" s="55"/>
      <c r="Z227" s="56" t="str">
        <f t="shared" si="44"/>
        <v>Yes</v>
      </c>
      <c r="AA227" s="56" t="str">
        <f t="shared" ref="AA227:AA241" si="47">IF(Z227="Yes","30 May,2023",IF(Z227="No","30 Aug,2022"))</f>
        <v>30 May,2023</v>
      </c>
    </row>
    <row r="228" spans="1:27" s="26" customFormat="1" ht="151.80000000000001" x14ac:dyDescent="0.3">
      <c r="A228" s="42"/>
      <c r="B228" s="44" t="s">
        <v>49</v>
      </c>
      <c r="C228" s="40" t="s">
        <v>106</v>
      </c>
      <c r="D228" s="40">
        <v>2</v>
      </c>
      <c r="E228" s="40">
        <v>2</v>
      </c>
      <c r="F228" s="40">
        <v>2</v>
      </c>
      <c r="G228" s="45">
        <v>6</v>
      </c>
      <c r="H228" s="42" t="s">
        <v>203</v>
      </c>
      <c r="I228" s="42" t="s">
        <v>205</v>
      </c>
      <c r="J228" s="51">
        <v>2</v>
      </c>
      <c r="K228" s="51">
        <v>2</v>
      </c>
      <c r="L228" s="51">
        <f t="shared" si="42"/>
        <v>24</v>
      </c>
      <c r="M228" s="61" t="str">
        <f t="shared" si="45"/>
        <v>Medium</v>
      </c>
      <c r="N228" s="82" t="s">
        <v>395</v>
      </c>
      <c r="O228" s="51">
        <v>1</v>
      </c>
      <c r="P228" s="51">
        <v>1</v>
      </c>
      <c r="Q228" s="53">
        <f t="shared" si="46"/>
        <v>6</v>
      </c>
      <c r="R228" s="62" t="str">
        <f t="shared" si="43"/>
        <v>Low</v>
      </c>
      <c r="S228" s="81" t="s">
        <v>383</v>
      </c>
      <c r="T228" s="57" t="s">
        <v>212</v>
      </c>
      <c r="U228" s="55" t="s">
        <v>318</v>
      </c>
      <c r="V228" s="55"/>
      <c r="W228" s="55"/>
      <c r="X228" s="55" t="s">
        <v>293</v>
      </c>
      <c r="Y228" s="55"/>
      <c r="Z228" s="56" t="str">
        <f t="shared" si="44"/>
        <v>Yes</v>
      </c>
      <c r="AA228" s="56" t="str">
        <f t="shared" si="47"/>
        <v>30 May,2023</v>
      </c>
    </row>
    <row r="229" spans="1:27" s="22" customFormat="1" ht="66" x14ac:dyDescent="0.3">
      <c r="A229" s="42"/>
      <c r="B229" s="44" t="s">
        <v>49</v>
      </c>
      <c r="C229" s="40" t="s">
        <v>106</v>
      </c>
      <c r="D229" s="40">
        <v>2</v>
      </c>
      <c r="E229" s="40">
        <v>2</v>
      </c>
      <c r="F229" s="40">
        <v>2</v>
      </c>
      <c r="G229" s="45">
        <v>6</v>
      </c>
      <c r="H229" s="44" t="s">
        <v>211</v>
      </c>
      <c r="I229" s="44" t="s">
        <v>416</v>
      </c>
      <c r="J229" s="51">
        <v>3</v>
      </c>
      <c r="K229" s="51">
        <v>3</v>
      </c>
      <c r="L229" s="51">
        <f t="shared" si="42"/>
        <v>54</v>
      </c>
      <c r="M229" s="60" t="str">
        <f t="shared" si="45"/>
        <v>High</v>
      </c>
      <c r="N229" s="83" t="s">
        <v>415</v>
      </c>
      <c r="O229" s="51">
        <v>1</v>
      </c>
      <c r="P229" s="51">
        <v>2</v>
      </c>
      <c r="Q229" s="53">
        <f t="shared" si="46"/>
        <v>12</v>
      </c>
      <c r="R229" s="62" t="str">
        <f t="shared" si="43"/>
        <v>Low</v>
      </c>
      <c r="S229" s="19" t="s">
        <v>417</v>
      </c>
      <c r="T229" s="80" t="s">
        <v>418</v>
      </c>
      <c r="U229" s="55" t="s">
        <v>318</v>
      </c>
      <c r="V229" s="55"/>
      <c r="W229" s="55"/>
      <c r="X229" s="55" t="s">
        <v>293</v>
      </c>
      <c r="Y229" s="55"/>
      <c r="Z229" s="56" t="str">
        <f t="shared" si="44"/>
        <v>Yes</v>
      </c>
      <c r="AA229" s="56" t="str">
        <f t="shared" si="47"/>
        <v>30 May,2023</v>
      </c>
    </row>
    <row r="230" spans="1:27" s="26" customFormat="1" ht="66" x14ac:dyDescent="0.3">
      <c r="A230" s="42"/>
      <c r="B230" s="42" t="s">
        <v>96</v>
      </c>
      <c r="C230" s="40" t="s">
        <v>157</v>
      </c>
      <c r="D230" s="40">
        <v>3</v>
      </c>
      <c r="E230" s="40">
        <v>3</v>
      </c>
      <c r="F230" s="40">
        <v>3</v>
      </c>
      <c r="G230" s="45">
        <v>9</v>
      </c>
      <c r="H230" s="44" t="s">
        <v>211</v>
      </c>
      <c r="I230" s="44" t="s">
        <v>416</v>
      </c>
      <c r="J230" s="51">
        <v>3</v>
      </c>
      <c r="K230" s="51">
        <v>3</v>
      </c>
      <c r="L230" s="51">
        <f t="shared" si="42"/>
        <v>81</v>
      </c>
      <c r="M230" s="60" t="str">
        <f t="shared" si="45"/>
        <v>High</v>
      </c>
      <c r="N230" s="83" t="s">
        <v>415</v>
      </c>
      <c r="O230" s="51">
        <v>1</v>
      </c>
      <c r="P230" s="51">
        <v>2</v>
      </c>
      <c r="Q230" s="53">
        <f t="shared" si="46"/>
        <v>18</v>
      </c>
      <c r="R230" s="62" t="str">
        <f t="shared" si="43"/>
        <v>Low</v>
      </c>
      <c r="S230" s="19" t="s">
        <v>417</v>
      </c>
      <c r="T230" s="80" t="s">
        <v>418</v>
      </c>
      <c r="U230" s="55" t="s">
        <v>318</v>
      </c>
      <c r="V230" s="55"/>
      <c r="W230" s="55"/>
      <c r="X230" s="55" t="s">
        <v>297</v>
      </c>
      <c r="Y230" s="55"/>
      <c r="Z230" s="56" t="str">
        <f t="shared" si="44"/>
        <v>Yes</v>
      </c>
      <c r="AA230" s="56" t="str">
        <f t="shared" si="47"/>
        <v>30 May,2023</v>
      </c>
    </row>
    <row r="231" spans="1:27" s="26" customFormat="1" ht="151.80000000000001" x14ac:dyDescent="0.3">
      <c r="A231" s="42"/>
      <c r="B231" s="42" t="s">
        <v>100</v>
      </c>
      <c r="C231" s="40" t="s">
        <v>158</v>
      </c>
      <c r="D231" s="40">
        <v>3</v>
      </c>
      <c r="E231" s="40">
        <v>3</v>
      </c>
      <c r="F231" s="40">
        <v>3</v>
      </c>
      <c r="G231" s="45">
        <v>9</v>
      </c>
      <c r="H231" s="42" t="s">
        <v>428</v>
      </c>
      <c r="I231" s="42" t="s">
        <v>205</v>
      </c>
      <c r="J231" s="51">
        <v>2</v>
      </c>
      <c r="K231" s="51">
        <v>2</v>
      </c>
      <c r="L231" s="51">
        <f t="shared" si="42"/>
        <v>36</v>
      </c>
      <c r="M231" s="61" t="str">
        <f t="shared" si="45"/>
        <v>Medium</v>
      </c>
      <c r="N231" s="82" t="s">
        <v>395</v>
      </c>
      <c r="O231" s="51">
        <v>1</v>
      </c>
      <c r="P231" s="51">
        <v>1</v>
      </c>
      <c r="Q231" s="53">
        <f t="shared" si="46"/>
        <v>9</v>
      </c>
      <c r="R231" s="62" t="str">
        <f t="shared" si="43"/>
        <v>Low</v>
      </c>
      <c r="S231" s="81" t="s">
        <v>383</v>
      </c>
      <c r="T231" s="57" t="s">
        <v>212</v>
      </c>
      <c r="U231" s="55" t="s">
        <v>318</v>
      </c>
      <c r="V231" s="55"/>
      <c r="W231" s="55"/>
      <c r="X231" s="55" t="s">
        <v>297</v>
      </c>
      <c r="Y231" s="55"/>
      <c r="Z231" s="56" t="str">
        <f t="shared" si="44"/>
        <v>Yes</v>
      </c>
      <c r="AA231" s="56" t="str">
        <f t="shared" si="47"/>
        <v>30 May,2023</v>
      </c>
    </row>
    <row r="232" spans="1:27" s="26" customFormat="1" ht="151.80000000000001" x14ac:dyDescent="0.3">
      <c r="A232" s="42"/>
      <c r="B232" s="42" t="s">
        <v>101</v>
      </c>
      <c r="C232" s="40" t="s">
        <v>159</v>
      </c>
      <c r="D232" s="40">
        <v>3</v>
      </c>
      <c r="E232" s="40">
        <v>3</v>
      </c>
      <c r="F232" s="40">
        <v>3</v>
      </c>
      <c r="G232" s="45">
        <v>9</v>
      </c>
      <c r="H232" s="42" t="s">
        <v>428</v>
      </c>
      <c r="I232" s="42" t="s">
        <v>205</v>
      </c>
      <c r="J232" s="51">
        <v>2</v>
      </c>
      <c r="K232" s="51">
        <v>2</v>
      </c>
      <c r="L232" s="51">
        <f t="shared" si="42"/>
        <v>36</v>
      </c>
      <c r="M232" s="61" t="str">
        <f t="shared" si="45"/>
        <v>Medium</v>
      </c>
      <c r="N232" s="82" t="s">
        <v>395</v>
      </c>
      <c r="O232" s="51">
        <v>1</v>
      </c>
      <c r="P232" s="51">
        <v>1</v>
      </c>
      <c r="Q232" s="53">
        <f t="shared" si="46"/>
        <v>9</v>
      </c>
      <c r="R232" s="62" t="str">
        <f t="shared" si="43"/>
        <v>Low</v>
      </c>
      <c r="S232" s="81" t="s">
        <v>383</v>
      </c>
      <c r="T232" s="57" t="s">
        <v>212</v>
      </c>
      <c r="U232" s="55" t="s">
        <v>318</v>
      </c>
      <c r="V232" s="55"/>
      <c r="W232" s="55"/>
      <c r="X232" s="55" t="s">
        <v>297</v>
      </c>
      <c r="Y232" s="55"/>
      <c r="Z232" s="56" t="str">
        <f t="shared" si="44"/>
        <v>Yes</v>
      </c>
      <c r="AA232" s="56" t="str">
        <f t="shared" si="47"/>
        <v>30 May,2023</v>
      </c>
    </row>
    <row r="233" spans="1:27" s="26" customFormat="1" ht="66" x14ac:dyDescent="0.3">
      <c r="A233" s="42"/>
      <c r="B233" s="50" t="s">
        <v>84</v>
      </c>
      <c r="C233" s="40" t="s">
        <v>146</v>
      </c>
      <c r="D233" s="40">
        <v>3</v>
      </c>
      <c r="E233" s="40">
        <v>3</v>
      </c>
      <c r="F233" s="40">
        <v>3</v>
      </c>
      <c r="G233" s="45">
        <v>9</v>
      </c>
      <c r="H233" s="44" t="s">
        <v>211</v>
      </c>
      <c r="I233" s="44" t="s">
        <v>416</v>
      </c>
      <c r="J233" s="51">
        <v>3</v>
      </c>
      <c r="K233" s="51">
        <v>3</v>
      </c>
      <c r="L233" s="51">
        <f t="shared" si="42"/>
        <v>81</v>
      </c>
      <c r="M233" s="60" t="str">
        <f t="shared" si="45"/>
        <v>High</v>
      </c>
      <c r="N233" s="83" t="s">
        <v>415</v>
      </c>
      <c r="O233" s="51">
        <v>1</v>
      </c>
      <c r="P233" s="51">
        <v>2</v>
      </c>
      <c r="Q233" s="53">
        <f t="shared" si="46"/>
        <v>18</v>
      </c>
      <c r="R233" s="62" t="str">
        <f t="shared" si="43"/>
        <v>Low</v>
      </c>
      <c r="S233" s="19" t="s">
        <v>417</v>
      </c>
      <c r="T233" s="80" t="s">
        <v>418</v>
      </c>
      <c r="U233" s="55" t="s">
        <v>318</v>
      </c>
      <c r="V233" s="55"/>
      <c r="W233" s="55"/>
      <c r="X233" s="55" t="s">
        <v>294</v>
      </c>
      <c r="Y233" s="55"/>
      <c r="Z233" s="56" t="str">
        <f t="shared" si="44"/>
        <v>Yes</v>
      </c>
      <c r="AA233" s="56" t="str">
        <f t="shared" si="47"/>
        <v>30 May,2023</v>
      </c>
    </row>
    <row r="234" spans="1:27" s="26" customFormat="1" ht="66" x14ac:dyDescent="0.3">
      <c r="A234" s="42"/>
      <c r="B234" s="50" t="s">
        <v>184</v>
      </c>
      <c r="C234" s="48" t="s">
        <v>201</v>
      </c>
      <c r="D234" s="40">
        <v>2</v>
      </c>
      <c r="E234" s="40">
        <v>2</v>
      </c>
      <c r="F234" s="40">
        <v>2</v>
      </c>
      <c r="G234" s="45">
        <v>6</v>
      </c>
      <c r="H234" s="44" t="s">
        <v>211</v>
      </c>
      <c r="I234" s="44" t="s">
        <v>416</v>
      </c>
      <c r="J234" s="51">
        <v>3</v>
      </c>
      <c r="K234" s="51">
        <v>3</v>
      </c>
      <c r="L234" s="51">
        <f t="shared" si="42"/>
        <v>54</v>
      </c>
      <c r="M234" s="60" t="str">
        <f t="shared" si="45"/>
        <v>High</v>
      </c>
      <c r="N234" s="83" t="s">
        <v>415</v>
      </c>
      <c r="O234" s="51">
        <v>1</v>
      </c>
      <c r="P234" s="51">
        <v>2</v>
      </c>
      <c r="Q234" s="53">
        <f t="shared" si="46"/>
        <v>12</v>
      </c>
      <c r="R234" s="62" t="str">
        <f t="shared" si="43"/>
        <v>Low</v>
      </c>
      <c r="S234" s="19" t="s">
        <v>417</v>
      </c>
      <c r="T234" s="80" t="s">
        <v>418</v>
      </c>
      <c r="U234" s="55" t="s">
        <v>318</v>
      </c>
      <c r="V234" s="55"/>
      <c r="W234" s="55"/>
      <c r="X234" s="55" t="s">
        <v>297</v>
      </c>
      <c r="Y234" s="55"/>
      <c r="Z234" s="56" t="str">
        <f t="shared" si="44"/>
        <v>Yes</v>
      </c>
      <c r="AA234" s="56" t="str">
        <f t="shared" si="47"/>
        <v>30 May,2023</v>
      </c>
    </row>
    <row r="235" spans="1:27" ht="66" x14ac:dyDescent="0.3">
      <c r="A235" s="42"/>
      <c r="B235" s="50" t="s">
        <v>185</v>
      </c>
      <c r="C235" s="48" t="s">
        <v>202</v>
      </c>
      <c r="D235" s="40">
        <v>2</v>
      </c>
      <c r="E235" s="40">
        <v>2</v>
      </c>
      <c r="F235" s="40">
        <v>2</v>
      </c>
      <c r="G235" s="45">
        <v>6</v>
      </c>
      <c r="H235" s="44" t="s">
        <v>211</v>
      </c>
      <c r="I235" s="44" t="s">
        <v>416</v>
      </c>
      <c r="J235" s="51">
        <v>3</v>
      </c>
      <c r="K235" s="51">
        <v>3</v>
      </c>
      <c r="L235" s="51">
        <f t="shared" si="42"/>
        <v>54</v>
      </c>
      <c r="M235" s="60" t="str">
        <f t="shared" si="45"/>
        <v>High</v>
      </c>
      <c r="N235" s="83" t="s">
        <v>415</v>
      </c>
      <c r="O235" s="51">
        <v>1</v>
      </c>
      <c r="P235" s="51">
        <v>2</v>
      </c>
      <c r="Q235" s="53">
        <f t="shared" si="46"/>
        <v>12</v>
      </c>
      <c r="R235" s="62" t="str">
        <f t="shared" si="43"/>
        <v>Low</v>
      </c>
      <c r="S235" s="19" t="s">
        <v>417</v>
      </c>
      <c r="T235" s="80" t="s">
        <v>418</v>
      </c>
      <c r="U235" s="55" t="s">
        <v>318</v>
      </c>
      <c r="V235" s="55"/>
      <c r="W235" s="55"/>
      <c r="X235" s="55" t="s">
        <v>297</v>
      </c>
      <c r="Y235" s="55"/>
      <c r="Z235" s="56" t="str">
        <f t="shared" si="44"/>
        <v>Yes</v>
      </c>
      <c r="AA235" s="56" t="str">
        <f t="shared" si="47"/>
        <v>30 May,2023</v>
      </c>
    </row>
    <row r="236" spans="1:27" ht="66" x14ac:dyDescent="0.3">
      <c r="A236" s="41"/>
      <c r="B236" s="50" t="s">
        <v>259</v>
      </c>
      <c r="C236" s="45" t="s">
        <v>260</v>
      </c>
      <c r="D236" s="40">
        <v>3</v>
      </c>
      <c r="E236" s="40">
        <v>3</v>
      </c>
      <c r="F236" s="40">
        <v>3</v>
      </c>
      <c r="G236" s="45">
        <v>9</v>
      </c>
      <c r="H236" s="54" t="s">
        <v>211</v>
      </c>
      <c r="I236" s="44" t="s">
        <v>416</v>
      </c>
      <c r="J236" s="51">
        <v>3</v>
      </c>
      <c r="K236" s="51">
        <v>3</v>
      </c>
      <c r="L236" s="51">
        <f t="shared" si="42"/>
        <v>81</v>
      </c>
      <c r="M236" s="60" t="str">
        <f t="shared" si="45"/>
        <v>High</v>
      </c>
      <c r="N236" s="83" t="s">
        <v>415</v>
      </c>
      <c r="O236" s="51">
        <v>1</v>
      </c>
      <c r="P236" s="51">
        <v>2</v>
      </c>
      <c r="Q236" s="53">
        <f t="shared" si="46"/>
        <v>18</v>
      </c>
      <c r="R236" s="62" t="str">
        <f t="shared" si="43"/>
        <v>Low</v>
      </c>
      <c r="S236" s="19" t="s">
        <v>417</v>
      </c>
      <c r="T236" s="80" t="s">
        <v>418</v>
      </c>
      <c r="U236" s="55" t="s">
        <v>318</v>
      </c>
      <c r="V236" s="55"/>
      <c r="W236" s="55"/>
      <c r="X236" s="56" t="s">
        <v>317</v>
      </c>
      <c r="Y236" s="56"/>
      <c r="Z236" s="56" t="str">
        <f t="shared" si="44"/>
        <v>Yes</v>
      </c>
      <c r="AA236" s="56" t="str">
        <f t="shared" si="47"/>
        <v>30 May,2023</v>
      </c>
    </row>
    <row r="237" spans="1:27" ht="66" x14ac:dyDescent="0.3">
      <c r="A237" s="41"/>
      <c r="B237" s="43" t="s">
        <v>240</v>
      </c>
      <c r="C237" s="45" t="s">
        <v>266</v>
      </c>
      <c r="D237" s="40">
        <v>3</v>
      </c>
      <c r="E237" s="40">
        <v>3</v>
      </c>
      <c r="F237" s="40">
        <v>3</v>
      </c>
      <c r="G237" s="45">
        <v>9</v>
      </c>
      <c r="H237" s="54" t="s">
        <v>211</v>
      </c>
      <c r="I237" s="44" t="s">
        <v>416</v>
      </c>
      <c r="J237" s="51">
        <v>3</v>
      </c>
      <c r="K237" s="51">
        <v>3</v>
      </c>
      <c r="L237" s="51">
        <f t="shared" si="42"/>
        <v>81</v>
      </c>
      <c r="M237" s="60" t="str">
        <f t="shared" si="45"/>
        <v>High</v>
      </c>
      <c r="N237" s="83" t="s">
        <v>415</v>
      </c>
      <c r="O237" s="51">
        <v>1</v>
      </c>
      <c r="P237" s="51">
        <v>2</v>
      </c>
      <c r="Q237" s="53">
        <f t="shared" si="46"/>
        <v>18</v>
      </c>
      <c r="R237" s="62" t="str">
        <f t="shared" si="43"/>
        <v>Low</v>
      </c>
      <c r="S237" s="19" t="s">
        <v>417</v>
      </c>
      <c r="T237" s="80" t="s">
        <v>418</v>
      </c>
      <c r="U237" s="55" t="s">
        <v>318</v>
      </c>
      <c r="V237" s="55"/>
      <c r="W237" s="55"/>
      <c r="X237" s="56" t="s">
        <v>317</v>
      </c>
      <c r="Y237" s="56"/>
      <c r="Z237" s="56" t="str">
        <f t="shared" si="44"/>
        <v>Yes</v>
      </c>
      <c r="AA237" s="56" t="str">
        <f t="shared" si="47"/>
        <v>30 May,2023</v>
      </c>
    </row>
    <row r="238" spans="1:27" ht="66" x14ac:dyDescent="0.3">
      <c r="A238" s="41"/>
      <c r="B238" s="43" t="s">
        <v>255</v>
      </c>
      <c r="C238" s="45" t="s">
        <v>268</v>
      </c>
      <c r="D238" s="40">
        <v>3</v>
      </c>
      <c r="E238" s="40">
        <v>3</v>
      </c>
      <c r="F238" s="40">
        <v>3</v>
      </c>
      <c r="G238" s="45">
        <v>9</v>
      </c>
      <c r="H238" s="44" t="s">
        <v>211</v>
      </c>
      <c r="I238" s="44" t="s">
        <v>416</v>
      </c>
      <c r="J238" s="51">
        <v>3</v>
      </c>
      <c r="K238" s="51">
        <v>3</v>
      </c>
      <c r="L238" s="51">
        <f t="shared" si="42"/>
        <v>81</v>
      </c>
      <c r="M238" s="60" t="str">
        <f t="shared" si="45"/>
        <v>High</v>
      </c>
      <c r="N238" s="83" t="s">
        <v>415</v>
      </c>
      <c r="O238" s="51">
        <v>1</v>
      </c>
      <c r="P238" s="51">
        <v>2</v>
      </c>
      <c r="Q238" s="53">
        <f t="shared" si="46"/>
        <v>18</v>
      </c>
      <c r="R238" s="62" t="str">
        <f t="shared" si="43"/>
        <v>Low</v>
      </c>
      <c r="S238" s="19" t="s">
        <v>417</v>
      </c>
      <c r="T238" s="80" t="s">
        <v>418</v>
      </c>
      <c r="U238" s="55" t="s">
        <v>318</v>
      </c>
      <c r="V238" s="55"/>
      <c r="W238" s="55"/>
      <c r="X238" s="56" t="s">
        <v>317</v>
      </c>
      <c r="Y238" s="56"/>
      <c r="Z238" s="56" t="str">
        <f t="shared" si="44"/>
        <v>Yes</v>
      </c>
      <c r="AA238" s="56" t="str">
        <f t="shared" si="47"/>
        <v>30 May,2023</v>
      </c>
    </row>
    <row r="239" spans="1:27" ht="66" x14ac:dyDescent="0.3">
      <c r="A239" s="41"/>
      <c r="B239" s="43" t="s">
        <v>271</v>
      </c>
      <c r="C239" s="45" t="s">
        <v>273</v>
      </c>
      <c r="D239" s="40">
        <v>3</v>
      </c>
      <c r="E239" s="40">
        <v>3</v>
      </c>
      <c r="F239" s="40">
        <v>3</v>
      </c>
      <c r="G239" s="45">
        <v>9</v>
      </c>
      <c r="H239" s="44" t="s">
        <v>211</v>
      </c>
      <c r="I239" s="44" t="s">
        <v>416</v>
      </c>
      <c r="J239" s="51">
        <v>3</v>
      </c>
      <c r="K239" s="51">
        <v>3</v>
      </c>
      <c r="L239" s="51">
        <f t="shared" si="42"/>
        <v>81</v>
      </c>
      <c r="M239" s="60" t="str">
        <f t="shared" si="45"/>
        <v>High</v>
      </c>
      <c r="N239" s="83" t="s">
        <v>415</v>
      </c>
      <c r="O239" s="51">
        <v>1</v>
      </c>
      <c r="P239" s="51">
        <v>2</v>
      </c>
      <c r="Q239" s="53">
        <f t="shared" si="46"/>
        <v>18</v>
      </c>
      <c r="R239" s="62" t="str">
        <f t="shared" si="43"/>
        <v>Low</v>
      </c>
      <c r="S239" s="19" t="s">
        <v>417</v>
      </c>
      <c r="T239" s="80" t="s">
        <v>418</v>
      </c>
      <c r="U239" s="55" t="s">
        <v>318</v>
      </c>
      <c r="V239" s="55"/>
      <c r="W239" s="55"/>
      <c r="X239" s="56" t="s">
        <v>317</v>
      </c>
      <c r="Y239" s="56"/>
      <c r="Z239" s="56" t="str">
        <f t="shared" si="44"/>
        <v>Yes</v>
      </c>
      <c r="AA239" s="56" t="str">
        <f t="shared" si="47"/>
        <v>30 May,2023</v>
      </c>
    </row>
    <row r="240" spans="1:27" ht="66" x14ac:dyDescent="0.3">
      <c r="A240" s="41"/>
      <c r="B240" s="43" t="s">
        <v>247</v>
      </c>
      <c r="C240" s="45" t="s">
        <v>280</v>
      </c>
      <c r="D240" s="40">
        <v>3</v>
      </c>
      <c r="E240" s="40">
        <v>3</v>
      </c>
      <c r="F240" s="40">
        <v>3</v>
      </c>
      <c r="G240" s="45">
        <v>9</v>
      </c>
      <c r="H240" s="44" t="s">
        <v>211</v>
      </c>
      <c r="I240" s="44" t="s">
        <v>416</v>
      </c>
      <c r="J240" s="51">
        <v>3</v>
      </c>
      <c r="K240" s="51">
        <v>3</v>
      </c>
      <c r="L240" s="51">
        <f t="shared" si="42"/>
        <v>81</v>
      </c>
      <c r="M240" s="60" t="str">
        <f t="shared" si="45"/>
        <v>High</v>
      </c>
      <c r="N240" s="83" t="s">
        <v>415</v>
      </c>
      <c r="O240" s="51">
        <v>1</v>
      </c>
      <c r="P240" s="51">
        <v>2</v>
      </c>
      <c r="Q240" s="53">
        <f t="shared" si="46"/>
        <v>18</v>
      </c>
      <c r="R240" s="62" t="str">
        <f t="shared" si="43"/>
        <v>Low</v>
      </c>
      <c r="S240" s="19" t="s">
        <v>417</v>
      </c>
      <c r="T240" s="80" t="s">
        <v>418</v>
      </c>
      <c r="U240" s="55" t="s">
        <v>318</v>
      </c>
      <c r="V240" s="55"/>
      <c r="W240" s="55"/>
      <c r="X240" s="56" t="s">
        <v>317</v>
      </c>
      <c r="Y240" s="56"/>
      <c r="Z240" s="56" t="str">
        <f t="shared" si="44"/>
        <v>Yes</v>
      </c>
      <c r="AA240" s="56" t="str">
        <f t="shared" si="47"/>
        <v>30 May,2023</v>
      </c>
    </row>
    <row r="241" spans="1:27" ht="66" x14ac:dyDescent="0.3">
      <c r="A241" s="42"/>
      <c r="B241" s="43" t="s">
        <v>289</v>
      </c>
      <c r="C241" s="45" t="s">
        <v>290</v>
      </c>
      <c r="D241" s="40">
        <v>3</v>
      </c>
      <c r="E241" s="40">
        <v>3</v>
      </c>
      <c r="F241" s="40">
        <v>3</v>
      </c>
      <c r="G241" s="45">
        <v>9</v>
      </c>
      <c r="H241" s="44" t="s">
        <v>211</v>
      </c>
      <c r="I241" s="44" t="s">
        <v>416</v>
      </c>
      <c r="J241" s="51">
        <v>3</v>
      </c>
      <c r="K241" s="51">
        <v>3</v>
      </c>
      <c r="L241" s="51">
        <f t="shared" si="42"/>
        <v>81</v>
      </c>
      <c r="M241" s="60" t="str">
        <f t="shared" si="45"/>
        <v>High</v>
      </c>
      <c r="N241" s="83" t="s">
        <v>415</v>
      </c>
      <c r="O241" s="51">
        <v>1</v>
      </c>
      <c r="P241" s="51">
        <v>2</v>
      </c>
      <c r="Q241" s="53">
        <f t="shared" si="46"/>
        <v>18</v>
      </c>
      <c r="R241" s="62" t="str">
        <f t="shared" si="43"/>
        <v>Low</v>
      </c>
      <c r="S241" s="19" t="s">
        <v>417</v>
      </c>
      <c r="T241" s="80" t="s">
        <v>418</v>
      </c>
      <c r="U241" s="55" t="s">
        <v>318</v>
      </c>
      <c r="V241" s="55"/>
      <c r="W241" s="55"/>
      <c r="X241" s="56" t="s">
        <v>317</v>
      </c>
      <c r="Y241" s="56"/>
      <c r="Z241" s="56" t="str">
        <f t="shared" si="44"/>
        <v>Yes</v>
      </c>
      <c r="AA241" s="56" t="str">
        <f t="shared" si="47"/>
        <v>30 May,2023</v>
      </c>
    </row>
  </sheetData>
  <autoFilter ref="A3:AB241" xr:uid="{00000000-0009-0000-0000-000002000000}"/>
  <mergeCells count="6">
    <mergeCell ref="Z2:AB2"/>
    <mergeCell ref="A2:I2"/>
    <mergeCell ref="J2:M2"/>
    <mergeCell ref="N2:R2"/>
    <mergeCell ref="S2:T2"/>
    <mergeCell ref="U2:Y2"/>
  </mergeCells>
  <conditionalFormatting sqref="N113:N115 N132 N129 N94 N76 N45:N46 N31 N134">
    <cfRule type="cellIs" dxfId="138" priority="461" operator="equal">
      <formula>"Low"</formula>
    </cfRule>
    <cfRule type="cellIs" dxfId="137" priority="462" operator="equal">
      <formula>"Medium"</formula>
    </cfRule>
    <cfRule type="cellIs" dxfId="136" priority="463" operator="equal">
      <formula>"High"</formula>
    </cfRule>
  </conditionalFormatting>
  <conditionalFormatting sqref="N113:N115 N132 N129 N94 N76 N45:N46 N31 N134">
    <cfRule type="cellIs" dxfId="135" priority="460" operator="equal">
      <formula>"Not Applicable"</formula>
    </cfRule>
  </conditionalFormatting>
  <conditionalFormatting sqref="M4:M241 R4:R241 Z4:Z241">
    <cfRule type="containsText" dxfId="134" priority="470" operator="containsText" text="LOW">
      <formula>NOT(ISERROR(SEARCH("LOW",#REF!)))</formula>
    </cfRule>
    <cfRule type="containsText" dxfId="133" priority="471" operator="containsText" text="MEDIUM">
      <formula>NOT(ISERROR(SEARCH("MEDIUM",#REF!)))</formula>
    </cfRule>
    <cfRule type="containsText" dxfId="132" priority="472" operator="containsText" text="HIGH">
      <formula>NOT(ISERROR(SEARCH("HIGH",#REF!)))</formula>
    </cfRule>
  </conditionalFormatting>
  <conditionalFormatting sqref="X171:Y183 AA4:AA104 AA106:AA241">
    <cfRule type="containsText" dxfId="131" priority="467" operator="containsText" text="LOW">
      <formula>NOT(ISERROR(SEARCH("LOW",#REF!)))</formula>
    </cfRule>
    <cfRule type="containsText" dxfId="130" priority="468" operator="containsText" text="MEDIUM">
      <formula>NOT(ISERROR(SEARCH("MEDIUM",#REF!)))</formula>
    </cfRule>
    <cfRule type="containsText" dxfId="129" priority="469" operator="containsText" text="HIGH">
      <formula>NOT(ISERROR(SEARCH("HIGH",#REF!)))</formula>
    </cfRule>
  </conditionalFormatting>
  <conditionalFormatting sqref="X209:Y209 X217:Y229">
    <cfRule type="containsText" dxfId="128" priority="464" operator="containsText" text="LOW">
      <formula>NOT(ISERROR(SEARCH("LOW",#REF!)))</formula>
    </cfRule>
    <cfRule type="containsText" dxfId="127" priority="465" operator="containsText" text="MEDIUM">
      <formula>NOT(ISERROR(SEARCH("MEDIUM",#REF!)))</formula>
    </cfRule>
    <cfRule type="containsText" dxfId="126" priority="466" operator="containsText" text="HIGH">
      <formula>NOT(ISERROR(SEARCH("HIGH",#REF!)))</formula>
    </cfRule>
  </conditionalFormatting>
  <conditionalFormatting sqref="X165:Y165 X209:Y209 X217:Y234">
    <cfRule type="containsText" dxfId="125" priority="336" operator="containsText" text="LOW">
      <formula>NOT(ISERROR(SEARCH("LOW",#REF!)))</formula>
    </cfRule>
    <cfRule type="containsText" dxfId="124" priority="337" operator="containsText" text="MEDIUM">
      <formula>NOT(ISERROR(SEARCH("MEDIUM",#REF!)))</formula>
    </cfRule>
    <cfRule type="containsText" dxfId="123" priority="338" operator="containsText" text="HIGH">
      <formula>NOT(ISERROR(SEARCH("HIGH",#REF!)))</formula>
    </cfRule>
  </conditionalFormatting>
  <conditionalFormatting sqref="I131">
    <cfRule type="cellIs" dxfId="122" priority="310" operator="equal">
      <formula>"Low"</formula>
    </cfRule>
    <cfRule type="cellIs" dxfId="121" priority="311" operator="equal">
      <formula>"Medium"</formula>
    </cfRule>
    <cfRule type="cellIs" dxfId="120" priority="312" operator="equal">
      <formula>"High"</formula>
    </cfRule>
  </conditionalFormatting>
  <conditionalFormatting sqref="I131">
    <cfRule type="cellIs" dxfId="119" priority="309" operator="equal">
      <formula>"Not Applicable"</formula>
    </cfRule>
  </conditionalFormatting>
  <conditionalFormatting sqref="I13">
    <cfRule type="cellIs" dxfId="118" priority="306" operator="equal">
      <formula>"Low"</formula>
    </cfRule>
    <cfRule type="cellIs" dxfId="117" priority="307" operator="equal">
      <formula>"Medium"</formula>
    </cfRule>
    <cfRule type="cellIs" dxfId="116" priority="308" operator="equal">
      <formula>"High"</formula>
    </cfRule>
  </conditionalFormatting>
  <conditionalFormatting sqref="I13">
    <cfRule type="cellIs" dxfId="115" priority="305" operator="equal">
      <formula>"Not Applicable"</formula>
    </cfRule>
  </conditionalFormatting>
  <conditionalFormatting sqref="I18">
    <cfRule type="cellIs" dxfId="114" priority="302" operator="equal">
      <formula>"Low"</formula>
    </cfRule>
    <cfRule type="cellIs" dxfId="113" priority="303" operator="equal">
      <formula>"Medium"</formula>
    </cfRule>
    <cfRule type="cellIs" dxfId="112" priority="304" operator="equal">
      <formula>"High"</formula>
    </cfRule>
  </conditionalFormatting>
  <conditionalFormatting sqref="I18">
    <cfRule type="cellIs" dxfId="111" priority="301" operator="equal">
      <formula>"Not Applicable"</formula>
    </cfRule>
  </conditionalFormatting>
  <conditionalFormatting sqref="I40">
    <cfRule type="cellIs" dxfId="110" priority="294" operator="equal">
      <formula>"Low"</formula>
    </cfRule>
    <cfRule type="cellIs" dxfId="109" priority="295" operator="equal">
      <formula>"Medium"</formula>
    </cfRule>
    <cfRule type="cellIs" dxfId="108" priority="296" operator="equal">
      <formula>"High"</formula>
    </cfRule>
  </conditionalFormatting>
  <conditionalFormatting sqref="I40">
    <cfRule type="cellIs" dxfId="107" priority="293" operator="equal">
      <formula>"Not Applicable"</formula>
    </cfRule>
  </conditionalFormatting>
  <conditionalFormatting sqref="I13">
    <cfRule type="cellIs" dxfId="106" priority="290" operator="equal">
      <formula>"Low"</formula>
    </cfRule>
    <cfRule type="cellIs" dxfId="105" priority="291" operator="equal">
      <formula>"Medium"</formula>
    </cfRule>
    <cfRule type="cellIs" dxfId="104" priority="292" operator="equal">
      <formula>"High"</formula>
    </cfRule>
  </conditionalFormatting>
  <conditionalFormatting sqref="I13">
    <cfRule type="cellIs" dxfId="103" priority="289" operator="equal">
      <formula>"Not Applicable"</formula>
    </cfRule>
  </conditionalFormatting>
  <conditionalFormatting sqref="N13 N17">
    <cfRule type="cellIs" dxfId="102" priority="276" operator="equal">
      <formula>"Low"</formula>
    </cfRule>
    <cfRule type="cellIs" dxfId="101" priority="277" operator="equal">
      <formula>"Medium"</formula>
    </cfRule>
    <cfRule type="cellIs" dxfId="100" priority="278" operator="equal">
      <formula>"High"</formula>
    </cfRule>
  </conditionalFormatting>
  <conditionalFormatting sqref="N13 N17">
    <cfRule type="cellIs" dxfId="99" priority="275" operator="equal">
      <formula>"Not Applicable"</formula>
    </cfRule>
  </conditionalFormatting>
  <conditionalFormatting sqref="N125 N43 N39">
    <cfRule type="cellIs" dxfId="98" priority="268" operator="equal">
      <formula>"Low"</formula>
    </cfRule>
    <cfRule type="cellIs" dxfId="97" priority="269" operator="equal">
      <formula>"Medium"</formula>
    </cfRule>
    <cfRule type="cellIs" dxfId="96" priority="270" operator="equal">
      <formula>"High"</formula>
    </cfRule>
  </conditionalFormatting>
  <conditionalFormatting sqref="N125 N43 N39">
    <cfRule type="cellIs" dxfId="95" priority="267" operator="equal">
      <formula>"Not Applicable"</formula>
    </cfRule>
  </conditionalFormatting>
  <conditionalFormatting sqref="I125 I117 I96 I90 I43 I39">
    <cfRule type="cellIs" dxfId="94" priority="260" operator="equal">
      <formula>"Low"</formula>
    </cfRule>
    <cfRule type="cellIs" dxfId="93" priority="261" operator="equal">
      <formula>"Medium"</formula>
    </cfRule>
    <cfRule type="cellIs" dxfId="92" priority="262" operator="equal">
      <formula>"High"</formula>
    </cfRule>
  </conditionalFormatting>
  <conditionalFormatting sqref="I125 I117 I96 I90 I43 I39">
    <cfRule type="cellIs" dxfId="91" priority="259" operator="equal">
      <formula>"Not Applicable"</formula>
    </cfRule>
  </conditionalFormatting>
  <conditionalFormatting sqref="N35">
    <cfRule type="cellIs" dxfId="90" priority="208" operator="equal">
      <formula>"Low"</formula>
    </cfRule>
    <cfRule type="cellIs" dxfId="89" priority="209" operator="equal">
      <formula>"Medium"</formula>
    </cfRule>
    <cfRule type="cellIs" dxfId="88" priority="210" operator="equal">
      <formula>"High"</formula>
    </cfRule>
  </conditionalFormatting>
  <conditionalFormatting sqref="N35">
    <cfRule type="cellIs" dxfId="87" priority="207" operator="equal">
      <formula>"Not Applicable"</formula>
    </cfRule>
  </conditionalFormatting>
  <conditionalFormatting sqref="N118">
    <cfRule type="cellIs" dxfId="86" priority="164" operator="equal">
      <formula>"Low"</formula>
    </cfRule>
    <cfRule type="cellIs" dxfId="85" priority="165" operator="equal">
      <formula>"Medium"</formula>
    </cfRule>
    <cfRule type="cellIs" dxfId="84" priority="166" operator="equal">
      <formula>"High"</formula>
    </cfRule>
  </conditionalFormatting>
  <conditionalFormatting sqref="N118">
    <cfRule type="cellIs" dxfId="83" priority="163" operator="equal">
      <formula>"Not Applicable"</formula>
    </cfRule>
  </conditionalFormatting>
  <conditionalFormatting sqref="X165:Y165">
    <cfRule type="containsText" dxfId="82" priority="152" operator="containsText" text="LOW">
      <formula>NOT(ISERROR(SEARCH("LOW",#REF!)))</formula>
    </cfRule>
    <cfRule type="containsText" dxfId="81" priority="153" operator="containsText" text="MEDIUM">
      <formula>NOT(ISERROR(SEARCH("MEDIUM",#REF!)))</formula>
    </cfRule>
    <cfRule type="containsText" dxfId="80" priority="154" operator="containsText" text="HIGH">
      <formula>NOT(ISERROR(SEARCH("HIGH",#REF!)))</formula>
    </cfRule>
  </conditionalFormatting>
  <conditionalFormatting sqref="I141">
    <cfRule type="cellIs" dxfId="79" priority="148" operator="equal">
      <formula>"Not Applicable"</formula>
    </cfRule>
  </conditionalFormatting>
  <conditionalFormatting sqref="I141">
    <cfRule type="cellIs" dxfId="78" priority="149" operator="equal">
      <formula>"Low"</formula>
    </cfRule>
    <cfRule type="cellIs" dxfId="77" priority="150" operator="equal">
      <formula>"Medium"</formula>
    </cfRule>
    <cfRule type="cellIs" dxfId="76" priority="151" operator="equal">
      <formula>"High"</formula>
    </cfRule>
  </conditionalFormatting>
  <conditionalFormatting sqref="I168">
    <cfRule type="cellIs" dxfId="75" priority="144" operator="equal">
      <formula>"Not Applicable"</formula>
    </cfRule>
  </conditionalFormatting>
  <conditionalFormatting sqref="I168">
    <cfRule type="cellIs" dxfId="74" priority="145" operator="equal">
      <formula>"Low"</formula>
    </cfRule>
    <cfRule type="cellIs" dxfId="73" priority="146" operator="equal">
      <formula>"Medium"</formula>
    </cfRule>
    <cfRule type="cellIs" dxfId="72" priority="147" operator="equal">
      <formula>"High"</formula>
    </cfRule>
  </conditionalFormatting>
  <conditionalFormatting sqref="N194">
    <cfRule type="cellIs" dxfId="71" priority="133" operator="equal">
      <formula>"Low"</formula>
    </cfRule>
    <cfRule type="cellIs" dxfId="70" priority="134" operator="equal">
      <formula>"Medium"</formula>
    </cfRule>
    <cfRule type="cellIs" dxfId="69" priority="135" operator="equal">
      <formula>"High"</formula>
    </cfRule>
  </conditionalFormatting>
  <conditionalFormatting sqref="N194">
    <cfRule type="cellIs" dxfId="68" priority="132" operator="equal">
      <formula>"Not Applicable"</formula>
    </cfRule>
  </conditionalFormatting>
  <conditionalFormatting sqref="N183">
    <cfRule type="cellIs" dxfId="67" priority="129" operator="equal">
      <formula>"Low"</formula>
    </cfRule>
    <cfRule type="cellIs" dxfId="66" priority="130" operator="equal">
      <formula>"Medium"</formula>
    </cfRule>
    <cfRule type="cellIs" dxfId="65" priority="131" operator="equal">
      <formula>"High"</formula>
    </cfRule>
  </conditionalFormatting>
  <conditionalFormatting sqref="N183">
    <cfRule type="cellIs" dxfId="64" priority="128" operator="equal">
      <formula>"Not Applicable"</formula>
    </cfRule>
  </conditionalFormatting>
  <conditionalFormatting sqref="N174 N177:N178">
    <cfRule type="cellIs" dxfId="63" priority="125" operator="equal">
      <formula>"Low"</formula>
    </cfRule>
    <cfRule type="cellIs" dxfId="62" priority="126" operator="equal">
      <formula>"Medium"</formula>
    </cfRule>
    <cfRule type="cellIs" dxfId="61" priority="127" operator="equal">
      <formula>"High"</formula>
    </cfRule>
  </conditionalFormatting>
  <conditionalFormatting sqref="N174 N177:N178">
    <cfRule type="cellIs" dxfId="60" priority="124" operator="equal">
      <formula>"Not Applicable"</formula>
    </cfRule>
  </conditionalFormatting>
  <conditionalFormatting sqref="N170">
    <cfRule type="cellIs" dxfId="59" priority="121" operator="equal">
      <formula>"Low"</formula>
    </cfRule>
    <cfRule type="cellIs" dxfId="58" priority="122" operator="equal">
      <formula>"Medium"</formula>
    </cfRule>
    <cfRule type="cellIs" dxfId="57" priority="123" operator="equal">
      <formula>"High"</formula>
    </cfRule>
  </conditionalFormatting>
  <conditionalFormatting sqref="N170">
    <cfRule type="cellIs" dxfId="56" priority="120" operator="equal">
      <formula>"Not Applicable"</formula>
    </cfRule>
  </conditionalFormatting>
  <conditionalFormatting sqref="N47 N41 N26">
    <cfRule type="cellIs" dxfId="55" priority="81" operator="equal">
      <formula>"Low"</formula>
    </cfRule>
    <cfRule type="cellIs" dxfId="54" priority="82" operator="equal">
      <formula>"Medium"</formula>
    </cfRule>
    <cfRule type="cellIs" dxfId="53" priority="83" operator="equal">
      <formula>"High"</formula>
    </cfRule>
  </conditionalFormatting>
  <conditionalFormatting sqref="N47 N41 N26">
    <cfRule type="cellIs" dxfId="52" priority="80" operator="equal">
      <formula>"Not Applicable"</formula>
    </cfRule>
  </conditionalFormatting>
  <conditionalFormatting sqref="N48 N42">
    <cfRule type="cellIs" dxfId="51" priority="73" operator="equal">
      <formula>"Low"</formula>
    </cfRule>
    <cfRule type="cellIs" dxfId="50" priority="74" operator="equal">
      <formula>"Medium"</formula>
    </cfRule>
    <cfRule type="cellIs" dxfId="49" priority="75" operator="equal">
      <formula>"High"</formula>
    </cfRule>
  </conditionalFormatting>
  <conditionalFormatting sqref="N48 N42">
    <cfRule type="cellIs" dxfId="48" priority="72" operator="equal">
      <formula>"Not Applicable"</formula>
    </cfRule>
  </conditionalFormatting>
  <conditionalFormatting sqref="N196 N190 N185 N182 N176 N173 N158 N54">
    <cfRule type="cellIs" dxfId="47" priority="69" operator="equal">
      <formula>"Low"</formula>
    </cfRule>
    <cfRule type="cellIs" dxfId="46" priority="70" operator="equal">
      <formula>"Medium"</formula>
    </cfRule>
    <cfRule type="cellIs" dxfId="45" priority="71" operator="equal">
      <formula>"High"</formula>
    </cfRule>
  </conditionalFormatting>
  <conditionalFormatting sqref="N196 N190 N185 N182 N176 N173 N158 N54">
    <cfRule type="cellIs" dxfId="44" priority="68" operator="equal">
      <formula>"Not Applicable"</formula>
    </cfRule>
  </conditionalFormatting>
  <conditionalFormatting sqref="N131 N102 N55">
    <cfRule type="cellIs" dxfId="43" priority="65" operator="equal">
      <formula>"Low"</formula>
    </cfRule>
    <cfRule type="cellIs" dxfId="42" priority="66" operator="equal">
      <formula>"Medium"</formula>
    </cfRule>
    <cfRule type="cellIs" dxfId="41" priority="67" operator="equal">
      <formula>"High"</formula>
    </cfRule>
  </conditionalFormatting>
  <conditionalFormatting sqref="N131 N102 N55">
    <cfRule type="cellIs" dxfId="40" priority="64" operator="equal">
      <formula>"Not Applicable"</formula>
    </cfRule>
  </conditionalFormatting>
  <conditionalFormatting sqref="N186">
    <cfRule type="cellIs" dxfId="39" priority="61" operator="equal">
      <formula>"Low"</formula>
    </cfRule>
    <cfRule type="cellIs" dxfId="38" priority="62" operator="equal">
      <formula>"Medium"</formula>
    </cfRule>
    <cfRule type="cellIs" dxfId="37" priority="63" operator="equal">
      <formula>"High"</formula>
    </cfRule>
  </conditionalFormatting>
  <conditionalFormatting sqref="N186">
    <cfRule type="cellIs" dxfId="36" priority="60" operator="equal">
      <formula>"Not Applicable"</formula>
    </cfRule>
  </conditionalFormatting>
  <conditionalFormatting sqref="N61">
    <cfRule type="cellIs" dxfId="35" priority="34" operator="equal">
      <formula>"Low"</formula>
    </cfRule>
    <cfRule type="cellIs" dxfId="34" priority="35" operator="equal">
      <formula>"Medium"</formula>
    </cfRule>
    <cfRule type="cellIs" dxfId="33" priority="36" operator="equal">
      <formula>"High"</formula>
    </cfRule>
  </conditionalFormatting>
  <conditionalFormatting sqref="N61">
    <cfRule type="cellIs" dxfId="32" priority="33" operator="equal">
      <formula>"Not Applicable"</formula>
    </cfRule>
  </conditionalFormatting>
  <conditionalFormatting sqref="N192 N181 N175 N146 N111 N73">
    <cfRule type="cellIs" dxfId="31" priority="30" operator="equal">
      <formula>"Low"</formula>
    </cfRule>
    <cfRule type="cellIs" dxfId="30" priority="31" operator="equal">
      <formula>"Medium"</formula>
    </cfRule>
    <cfRule type="cellIs" dxfId="29" priority="32" operator="equal">
      <formula>"High"</formula>
    </cfRule>
  </conditionalFormatting>
  <conditionalFormatting sqref="N192 N181 N175 N146 N111 N73">
    <cfRule type="cellIs" dxfId="28" priority="29" operator="equal">
      <formula>"Not Applicable"</formula>
    </cfRule>
  </conditionalFormatting>
  <conditionalFormatting sqref="N56">
    <cfRule type="cellIs" dxfId="27" priority="26" operator="equal">
      <formula>"Low"</formula>
    </cfRule>
    <cfRule type="cellIs" dxfId="26" priority="27" operator="equal">
      <formula>"Medium"</formula>
    </cfRule>
    <cfRule type="cellIs" dxfId="25" priority="28" operator="equal">
      <formula>"High"</formula>
    </cfRule>
  </conditionalFormatting>
  <conditionalFormatting sqref="N56">
    <cfRule type="cellIs" dxfId="24" priority="25" operator="equal">
      <formula>"Not Applicable"</formula>
    </cfRule>
  </conditionalFormatting>
  <conditionalFormatting sqref="T44">
    <cfRule type="containsText" dxfId="23" priority="22" operator="containsText" text="LOW">
      <formula>NOT(ISERROR(SEARCH("LOW",#REF!)))</formula>
    </cfRule>
    <cfRule type="containsText" dxfId="22" priority="23" operator="containsText" text="MEDIUM">
      <formula>NOT(ISERROR(SEARCH("MEDIUM",#REF!)))</formula>
    </cfRule>
    <cfRule type="containsText" dxfId="21" priority="24" operator="containsText" text="HIGH">
      <formula>NOT(ISERROR(SEARCH("HIGH",#REF!)))</formula>
    </cfRule>
  </conditionalFormatting>
  <conditionalFormatting sqref="T57 T54:T55 T50 T48">
    <cfRule type="containsText" dxfId="20" priority="19" operator="containsText" text="LOW">
      <formula>NOT(ISERROR(SEARCH("LOW",#REF!)))</formula>
    </cfRule>
    <cfRule type="containsText" dxfId="19" priority="20" operator="containsText" text="MEDIUM">
      <formula>NOT(ISERROR(SEARCH("MEDIUM",#REF!)))</formula>
    </cfRule>
    <cfRule type="containsText" dxfId="18" priority="21" operator="containsText" text="HIGH">
      <formula>NOT(ISERROR(SEARCH("HIGH",#REF!)))</formula>
    </cfRule>
  </conditionalFormatting>
  <conditionalFormatting sqref="N155 N153 N151 N147:N148 N144 N141 N135 N133 N128 N124 N122 N120 N117 N110 N107 N101 N96 N93 N88 N79 N75 N72 N69 N65 N60 N38 N34 N30 N25 N21 N16 N12 N160:N161">
    <cfRule type="cellIs" dxfId="17" priority="16" operator="equal">
      <formula>"Low"</formula>
    </cfRule>
    <cfRule type="cellIs" dxfId="16" priority="17" operator="equal">
      <formula>"Medium"</formula>
    </cfRule>
    <cfRule type="cellIs" dxfId="15" priority="18" operator="equal">
      <formula>"High"</formula>
    </cfRule>
  </conditionalFormatting>
  <conditionalFormatting sqref="N155 N153 N151 N147:N148 N144 N141 N135 N133 N128 N124 N122 N120 N117 N110 N107 N101 N96 N93 N88 N79 N75 N72 N69 N65 N60 N38 N34 N30 N25 N21 N16 N12 N160:N161">
    <cfRule type="cellIs" dxfId="14" priority="15" operator="equal">
      <formula>"Not Applicable"</formula>
    </cfRule>
  </conditionalFormatting>
  <conditionalFormatting sqref="T12">
    <cfRule type="containsText" dxfId="13" priority="12" operator="containsText" text="LOW">
      <formula>NOT(ISERROR(SEARCH("LOW",#REF!)))</formula>
    </cfRule>
    <cfRule type="containsText" dxfId="12" priority="13" operator="containsText" text="MEDIUM">
      <formula>NOT(ISERROR(SEARCH("MEDIUM",#REF!)))</formula>
    </cfRule>
    <cfRule type="containsText" dxfId="11" priority="14" operator="containsText" text="HIGH">
      <formula>NOT(ISERROR(SEARCH("HIGH",#REF!)))</formula>
    </cfRule>
  </conditionalFormatting>
  <conditionalFormatting sqref="T155 T153 T151 T147:T148 T144 T141 T135 T133 T128 T124 T122 T120 T117 T110 T107 T101 T96 T93 T88 T79 T75 T72 T69 T65 T60 T38 T34 T30 T25 T21 T16 T160:T161">
    <cfRule type="containsText" dxfId="10" priority="9" operator="containsText" text="LOW">
      <formula>NOT(ISERROR(SEARCH("LOW",#REF!)))</formula>
    </cfRule>
    <cfRule type="containsText" dxfId="9" priority="10" operator="containsText" text="MEDIUM">
      <formula>NOT(ISERROR(SEARCH("MEDIUM",#REF!)))</formula>
    </cfRule>
    <cfRule type="containsText" dxfId="8" priority="11" operator="containsText" text="HIGH">
      <formula>NOT(ISERROR(SEARCH("HIGH",#REF!)))</formula>
    </cfRule>
  </conditionalFormatting>
  <conditionalFormatting sqref="N197:N198 N202 N204 N206:N208 N210:N211 N213 N225 N229:N230 N233:N241 N28 N105">
    <cfRule type="cellIs" dxfId="7" priority="6" operator="equal">
      <formula>"Low"</formula>
    </cfRule>
    <cfRule type="cellIs" dxfId="6" priority="7" operator="equal">
      <formula>"Medium"</formula>
    </cfRule>
    <cfRule type="cellIs" dxfId="5" priority="8" operator="equal">
      <formula>"High"</formula>
    </cfRule>
  </conditionalFormatting>
  <conditionalFormatting sqref="N197:N198 N202 N204 N206:N208 N210:N211 N213 N225 N229:N230 N233:N241 N28 N105">
    <cfRule type="cellIs" dxfId="4" priority="5" operator="equal">
      <formula>"Not Applicable"</formula>
    </cfRule>
  </conditionalFormatting>
  <conditionalFormatting sqref="N24 N19 N15">
    <cfRule type="cellIs" dxfId="3" priority="2" operator="equal">
      <formula>"Low"</formula>
    </cfRule>
    <cfRule type="cellIs" dxfId="2" priority="3" operator="equal">
      <formula>"Medium"</formula>
    </cfRule>
    <cfRule type="cellIs" dxfId="1" priority="4" operator="equal">
      <formula>"High"</formula>
    </cfRule>
  </conditionalFormatting>
  <conditionalFormatting sqref="N24 N19 N15">
    <cfRule type="cellIs" dxfId="0" priority="1" operator="equal">
      <formula>"Not Applicable"</formula>
    </cfRule>
  </conditionalFormatting>
  <dataValidations count="4">
    <dataValidation type="list" allowBlank="1" showInputMessage="1" showErrorMessage="1" sqref="J4:K241 O4:P241" xr:uid="{C254DC24-60A1-4D3F-8A03-54FCA0716F89}">
      <formula1>"Select…,1,2,3"</formula1>
    </dataValidation>
    <dataValidation type="list" allowBlank="1" showInputMessage="1" showErrorMessage="1" sqref="Z3" xr:uid="{BC53071D-D134-49F6-9297-8CD94059F9CA}">
      <formula1>"Select..,Modify,Accept,Avoid,transfer"</formula1>
    </dataValidation>
    <dataValidation type="list" allowBlank="1" showInputMessage="1" showErrorMessage="1" sqref="R3" xr:uid="{57C0DCB1-64A4-41B2-8B5D-CC3165F116EC}">
      <formula1>"Select…,Accept,Avoid,Mitigate,Transfer"</formula1>
    </dataValidation>
    <dataValidation type="list" allowBlank="1" showErrorMessage="1" sqref="U4:W241" xr:uid="{EAE54BF4-31DB-422D-A2CD-BCFBA0BA2628}">
      <formula1>" Select…,Retention,Avoidance,Mitigation,Sharing"</formula1>
    </dataValidation>
  </dataValidations>
  <pageMargins left="0.7" right="0.7" top="0.75" bottom="0.75" header="0.3" footer="0.3"/>
  <pageSetup scale="23" orientation="portrait" r:id="rId1"/>
  <colBreaks count="1" manualBreakCount="1">
    <brk id="14" max="35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8895-D8AA-462D-BC83-D61D49A46ACD}">
  <dimension ref="B1:I24"/>
  <sheetViews>
    <sheetView topLeftCell="A16" zoomScale="87" zoomScaleNormal="87" workbookViewId="0">
      <selection activeCell="C14" sqref="C14"/>
    </sheetView>
  </sheetViews>
  <sheetFormatPr defaultColWidth="9.21875" defaultRowHeight="13.2" x14ac:dyDescent="0.25"/>
  <cols>
    <col min="1" max="1" width="9.21875" style="14"/>
    <col min="2" max="2" width="32.77734375" style="14" customWidth="1"/>
    <col min="3" max="3" width="59.77734375" style="14" customWidth="1"/>
    <col min="4" max="4" width="12.21875" style="14" customWidth="1"/>
    <col min="5" max="5" width="15.44140625" style="14" customWidth="1"/>
    <col min="6" max="6" width="9.21875" style="14" customWidth="1"/>
    <col min="7" max="7" width="15.21875" style="14" customWidth="1"/>
    <col min="8" max="8" width="56.77734375" style="14" customWidth="1"/>
    <col min="9" max="9" width="18.5546875" style="14" customWidth="1"/>
    <col min="10" max="10" width="9.21875" style="14" customWidth="1"/>
    <col min="11" max="11" width="18.77734375" style="14" customWidth="1"/>
    <col min="12" max="16384" width="9.21875" style="14"/>
  </cols>
  <sheetData>
    <row r="1" spans="2:9" x14ac:dyDescent="0.25">
      <c r="E1" s="13"/>
    </row>
    <row r="2" spans="2:9" ht="32.1" customHeight="1" x14ac:dyDescent="0.25">
      <c r="B2" s="112" t="s">
        <v>29</v>
      </c>
      <c r="C2" s="112"/>
      <c r="D2" s="112"/>
      <c r="E2" s="77"/>
    </row>
    <row r="3" spans="2:9" x14ac:dyDescent="0.25">
      <c r="E3" s="13"/>
    </row>
    <row r="4" spans="2:9" ht="13.05" customHeight="1" x14ac:dyDescent="0.25">
      <c r="B4" s="116" t="s">
        <v>30</v>
      </c>
      <c r="C4" s="116"/>
      <c r="D4" s="116"/>
      <c r="E4" s="15"/>
      <c r="G4" s="114" t="s">
        <v>27</v>
      </c>
      <c r="H4" s="115"/>
    </row>
    <row r="5" spans="2:9" ht="39.6" x14ac:dyDescent="0.25">
      <c r="B5" s="117" t="s">
        <v>31</v>
      </c>
      <c r="C5" s="117" t="s">
        <v>5</v>
      </c>
      <c r="D5" s="117" t="s">
        <v>32</v>
      </c>
      <c r="E5" s="16"/>
      <c r="G5" s="11" t="s">
        <v>398</v>
      </c>
      <c r="H5" s="11" t="s">
        <v>400</v>
      </c>
    </row>
    <row r="6" spans="2:9" ht="33" customHeight="1" x14ac:dyDescent="0.25">
      <c r="B6" s="118"/>
      <c r="C6" s="118"/>
      <c r="D6" s="118"/>
      <c r="E6" s="16"/>
      <c r="G6" s="11" t="s">
        <v>399</v>
      </c>
      <c r="H6" s="11" t="s">
        <v>401</v>
      </c>
    </row>
    <row r="7" spans="2:9" ht="53.55" customHeight="1" x14ac:dyDescent="0.25">
      <c r="B7" s="76" t="s">
        <v>360</v>
      </c>
      <c r="C7" s="11" t="s">
        <v>361</v>
      </c>
      <c r="D7" s="33">
        <v>1</v>
      </c>
      <c r="E7" s="16"/>
      <c r="G7" s="11" t="s">
        <v>28</v>
      </c>
      <c r="H7" s="11" t="s">
        <v>402</v>
      </c>
    </row>
    <row r="8" spans="2:9" ht="78" customHeight="1" x14ac:dyDescent="0.25">
      <c r="B8" s="76" t="s">
        <v>362</v>
      </c>
      <c r="C8" s="11" t="s">
        <v>363</v>
      </c>
      <c r="D8" s="34">
        <v>2</v>
      </c>
      <c r="E8" s="12"/>
      <c r="G8" s="11" t="s">
        <v>164</v>
      </c>
      <c r="H8" s="11" t="s">
        <v>403</v>
      </c>
    </row>
    <row r="9" spans="2:9" ht="79.2" x14ac:dyDescent="0.25">
      <c r="B9" s="76" t="s">
        <v>364</v>
      </c>
      <c r="C9" s="11" t="s">
        <v>365</v>
      </c>
      <c r="D9" s="35">
        <v>3</v>
      </c>
      <c r="E9" s="12"/>
    </row>
    <row r="10" spans="2:9" x14ac:dyDescent="0.25">
      <c r="C10" s="12"/>
      <c r="E10" s="12"/>
    </row>
    <row r="12" spans="2:9" ht="13.5" customHeight="1" x14ac:dyDescent="0.25">
      <c r="B12" s="72" t="s">
        <v>34</v>
      </c>
      <c r="C12" s="72"/>
      <c r="D12" s="72"/>
      <c r="G12" s="116" t="s">
        <v>43</v>
      </c>
      <c r="H12" s="116"/>
      <c r="I12" s="116"/>
    </row>
    <row r="13" spans="2:9" x14ac:dyDescent="0.25">
      <c r="B13" s="1" t="s">
        <v>31</v>
      </c>
      <c r="C13" s="1" t="s">
        <v>5</v>
      </c>
      <c r="D13" s="1" t="s">
        <v>32</v>
      </c>
      <c r="G13" s="1" t="s">
        <v>44</v>
      </c>
      <c r="H13" s="1" t="s">
        <v>45</v>
      </c>
      <c r="I13" s="1" t="s">
        <v>8</v>
      </c>
    </row>
    <row r="14" spans="2:9" ht="118.8" x14ac:dyDescent="0.25">
      <c r="B14" s="32" t="s">
        <v>33</v>
      </c>
      <c r="C14" s="11" t="s">
        <v>367</v>
      </c>
      <c r="D14" s="36">
        <v>1</v>
      </c>
      <c r="G14" s="24" t="s">
        <v>409</v>
      </c>
      <c r="H14" s="23" t="s">
        <v>404</v>
      </c>
      <c r="I14" s="17" t="s">
        <v>33</v>
      </c>
    </row>
    <row r="15" spans="2:9" ht="108.6" customHeight="1" x14ac:dyDescent="0.25">
      <c r="B15" s="32" t="s">
        <v>366</v>
      </c>
      <c r="C15" s="11" t="s">
        <v>368</v>
      </c>
      <c r="D15" s="17">
        <v>2</v>
      </c>
      <c r="G15" s="24" t="s">
        <v>408</v>
      </c>
      <c r="H15" s="23" t="s">
        <v>405</v>
      </c>
      <c r="I15" s="31" t="s">
        <v>46</v>
      </c>
    </row>
    <row r="16" spans="2:9" ht="111" customHeight="1" x14ac:dyDescent="0.25">
      <c r="B16" s="32" t="s">
        <v>6</v>
      </c>
      <c r="C16" s="19" t="s">
        <v>369</v>
      </c>
      <c r="D16" s="31">
        <v>3</v>
      </c>
      <c r="G16" s="24" t="s">
        <v>407</v>
      </c>
      <c r="H16" s="23" t="s">
        <v>406</v>
      </c>
      <c r="I16" s="18" t="s">
        <v>6</v>
      </c>
    </row>
    <row r="17" spans="2:4" ht="50.1" customHeight="1" x14ac:dyDescent="0.25">
      <c r="B17" s="113" t="s">
        <v>397</v>
      </c>
      <c r="C17" s="113"/>
      <c r="D17" s="113"/>
    </row>
    <row r="18" spans="2:4" ht="50.1" customHeight="1" x14ac:dyDescent="0.25"/>
    <row r="19" spans="2:4" ht="50.1" customHeight="1" x14ac:dyDescent="0.25"/>
    <row r="20" spans="2:4" ht="50.1" customHeight="1" x14ac:dyDescent="0.25"/>
    <row r="21" spans="2:4" ht="50.1" customHeight="1" x14ac:dyDescent="0.25"/>
    <row r="22" spans="2:4" ht="50.1" customHeight="1" x14ac:dyDescent="0.25"/>
    <row r="23" spans="2:4" ht="50.1" customHeight="1" x14ac:dyDescent="0.25"/>
    <row r="24" spans="2:4" ht="50.1" customHeight="1" x14ac:dyDescent="0.25"/>
  </sheetData>
  <mergeCells count="8">
    <mergeCell ref="B2:D2"/>
    <mergeCell ref="B17:D17"/>
    <mergeCell ref="G4:H4"/>
    <mergeCell ref="G12:I12"/>
    <mergeCell ref="B4:D4"/>
    <mergeCell ref="B5:B6"/>
    <mergeCell ref="C5:C6"/>
    <mergeCell ref="D5:D6"/>
  </mergeCells>
  <pageMargins left="0.7" right="0.7" top="0.75" bottom="0.75" header="0.3" footer="0.3"/>
  <pageSetup scale="3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1B5F-ECD7-47D3-B83A-9F6B2AC1B1A2}">
  <dimension ref="B1:G102"/>
  <sheetViews>
    <sheetView topLeftCell="A10" workbookViewId="0">
      <selection activeCell="F1" sqref="F1:F1048576"/>
    </sheetView>
  </sheetViews>
  <sheetFormatPr defaultColWidth="9.21875" defaultRowHeight="14.4" x14ac:dyDescent="0.3"/>
  <cols>
    <col min="1" max="1" width="9.21875" style="28"/>
    <col min="2" max="2" width="32.21875" style="65" customWidth="1"/>
    <col min="3" max="3" width="19.21875" style="65" customWidth="1"/>
    <col min="4" max="4" width="42.44140625" style="65" customWidth="1"/>
    <col min="5" max="5" width="27.21875" style="65" customWidth="1"/>
    <col min="6" max="6" width="38.21875" style="65" customWidth="1"/>
    <col min="7" max="7" width="11.77734375" style="65" customWidth="1"/>
    <col min="8" max="16384" width="9.21875" style="28"/>
  </cols>
  <sheetData>
    <row r="1" spans="2:7" ht="55.5" customHeight="1" x14ac:dyDescent="0.3"/>
    <row r="2" spans="2:7" ht="29.25" customHeight="1" x14ac:dyDescent="0.3"/>
    <row r="3" spans="2:7" hidden="1" x14ac:dyDescent="0.3"/>
    <row r="4" spans="2:7" ht="15.6" x14ac:dyDescent="0.3">
      <c r="B4" s="119" t="s">
        <v>319</v>
      </c>
      <c r="C4" s="119"/>
      <c r="D4" s="120" t="s">
        <v>320</v>
      </c>
      <c r="E4" s="120"/>
      <c r="F4" s="121" t="s">
        <v>321</v>
      </c>
      <c r="G4" s="121"/>
    </row>
    <row r="5" spans="2:7" x14ac:dyDescent="0.3">
      <c r="B5" s="66" t="s">
        <v>36</v>
      </c>
      <c r="C5" s="66" t="s">
        <v>35</v>
      </c>
      <c r="D5" s="66" t="s">
        <v>36</v>
      </c>
      <c r="E5" s="66" t="s">
        <v>35</v>
      </c>
      <c r="F5" s="66" t="s">
        <v>36</v>
      </c>
      <c r="G5" s="66" t="s">
        <v>35</v>
      </c>
    </row>
    <row r="6" spans="2:7" x14ac:dyDescent="0.3">
      <c r="B6" s="25" t="s">
        <v>322</v>
      </c>
      <c r="C6" s="29">
        <v>6</v>
      </c>
      <c r="D6" s="25" t="s">
        <v>102</v>
      </c>
      <c r="E6" s="29">
        <f t="shared" ref="E6:E33" si="0">SUM(B6:D6)</f>
        <v>6</v>
      </c>
      <c r="F6" s="67" t="s">
        <v>93</v>
      </c>
      <c r="G6" s="21">
        <v>9</v>
      </c>
    </row>
    <row r="7" spans="2:7" x14ac:dyDescent="0.3">
      <c r="B7" s="25" t="s">
        <v>323</v>
      </c>
      <c r="C7" s="29">
        <v>9</v>
      </c>
      <c r="D7" s="25" t="s">
        <v>102</v>
      </c>
      <c r="E7" s="29">
        <f t="shared" si="0"/>
        <v>9</v>
      </c>
      <c r="F7" s="68" t="s">
        <v>90</v>
      </c>
      <c r="G7" s="25">
        <v>6</v>
      </c>
    </row>
    <row r="8" spans="2:7" x14ac:dyDescent="0.3">
      <c r="B8" s="25" t="s">
        <v>323</v>
      </c>
      <c r="C8" s="29">
        <v>9</v>
      </c>
      <c r="D8" s="25" t="s">
        <v>324</v>
      </c>
      <c r="E8" s="29">
        <f t="shared" si="0"/>
        <v>9</v>
      </c>
      <c r="F8" s="67" t="s">
        <v>89</v>
      </c>
      <c r="G8" s="25">
        <v>6</v>
      </c>
    </row>
    <row r="9" spans="2:7" x14ac:dyDescent="0.3">
      <c r="B9" s="25" t="s">
        <v>325</v>
      </c>
      <c r="C9" s="29">
        <v>9</v>
      </c>
      <c r="D9" s="25" t="s">
        <v>324</v>
      </c>
      <c r="E9" s="29">
        <f t="shared" si="0"/>
        <v>9</v>
      </c>
      <c r="F9" s="67" t="s">
        <v>87</v>
      </c>
      <c r="G9" s="25">
        <v>6</v>
      </c>
    </row>
    <row r="10" spans="2:7" x14ac:dyDescent="0.3">
      <c r="B10" s="25" t="s">
        <v>104</v>
      </c>
      <c r="C10" s="29">
        <v>9</v>
      </c>
      <c r="D10" s="25" t="s">
        <v>103</v>
      </c>
      <c r="E10" s="29">
        <f t="shared" si="0"/>
        <v>9</v>
      </c>
      <c r="F10" s="67" t="s">
        <v>88</v>
      </c>
      <c r="G10" s="25">
        <v>6</v>
      </c>
    </row>
    <row r="11" spans="2:7" x14ac:dyDescent="0.3">
      <c r="B11" s="25" t="s">
        <v>104</v>
      </c>
      <c r="C11" s="29">
        <v>9</v>
      </c>
      <c r="D11" s="25" t="s">
        <v>326</v>
      </c>
      <c r="E11" s="29">
        <f t="shared" si="0"/>
        <v>9</v>
      </c>
      <c r="F11" s="67" t="s">
        <v>165</v>
      </c>
      <c r="G11" s="25">
        <v>6</v>
      </c>
    </row>
    <row r="12" spans="2:7" x14ac:dyDescent="0.3">
      <c r="B12" s="25" t="s">
        <v>327</v>
      </c>
      <c r="C12" s="29">
        <v>9</v>
      </c>
      <c r="D12" s="25" t="s">
        <v>328</v>
      </c>
      <c r="E12" s="29">
        <f t="shared" si="0"/>
        <v>9</v>
      </c>
      <c r="F12" s="67" t="s">
        <v>166</v>
      </c>
      <c r="G12" s="25">
        <v>6</v>
      </c>
    </row>
    <row r="13" spans="2:7" x14ac:dyDescent="0.3">
      <c r="B13" s="25" t="s">
        <v>329</v>
      </c>
      <c r="C13" s="29">
        <v>9</v>
      </c>
      <c r="D13" s="25" t="s">
        <v>323</v>
      </c>
      <c r="E13" s="29">
        <f t="shared" si="0"/>
        <v>9</v>
      </c>
      <c r="F13" s="67" t="s">
        <v>167</v>
      </c>
      <c r="G13" s="25">
        <v>6</v>
      </c>
    </row>
    <row r="14" spans="2:7" x14ac:dyDescent="0.3">
      <c r="B14" s="25" t="s">
        <v>330</v>
      </c>
      <c r="C14" s="29">
        <v>9</v>
      </c>
      <c r="D14" s="25" t="s">
        <v>323</v>
      </c>
      <c r="E14" s="29">
        <f t="shared" si="0"/>
        <v>9</v>
      </c>
      <c r="F14" s="67" t="s">
        <v>168</v>
      </c>
      <c r="G14" s="25">
        <v>6</v>
      </c>
    </row>
    <row r="15" spans="2:7" x14ac:dyDescent="0.3">
      <c r="B15" s="25" t="s">
        <v>331</v>
      </c>
      <c r="C15" s="29">
        <v>9</v>
      </c>
      <c r="D15" s="25" t="s">
        <v>332</v>
      </c>
      <c r="E15" s="29">
        <f t="shared" si="0"/>
        <v>9</v>
      </c>
      <c r="F15" s="67" t="s">
        <v>169</v>
      </c>
      <c r="G15" s="21">
        <v>9</v>
      </c>
    </row>
    <row r="16" spans="2:7" x14ac:dyDescent="0.3">
      <c r="B16" s="25" t="s">
        <v>331</v>
      </c>
      <c r="C16" s="29">
        <v>9</v>
      </c>
      <c r="D16" s="25" t="s">
        <v>333</v>
      </c>
      <c r="E16" s="29">
        <f t="shared" si="0"/>
        <v>9</v>
      </c>
      <c r="F16" s="67" t="s">
        <v>170</v>
      </c>
      <c r="G16" s="25">
        <v>6</v>
      </c>
    </row>
    <row r="17" spans="2:7" x14ac:dyDescent="0.3">
      <c r="B17" s="25" t="s">
        <v>334</v>
      </c>
      <c r="C17" s="29">
        <v>9</v>
      </c>
      <c r="D17" s="25" t="s">
        <v>333</v>
      </c>
      <c r="E17" s="29">
        <f t="shared" si="0"/>
        <v>9</v>
      </c>
      <c r="F17" s="67" t="s">
        <v>171</v>
      </c>
      <c r="G17" s="25">
        <v>6</v>
      </c>
    </row>
    <row r="18" spans="2:7" x14ac:dyDescent="0.3">
      <c r="B18" s="25" t="s">
        <v>335</v>
      </c>
      <c r="C18" s="29">
        <v>9</v>
      </c>
      <c r="D18" s="25" t="s">
        <v>336</v>
      </c>
      <c r="E18" s="29">
        <f t="shared" si="0"/>
        <v>9</v>
      </c>
      <c r="F18" s="67" t="s">
        <v>172</v>
      </c>
      <c r="G18" s="25">
        <v>6</v>
      </c>
    </row>
    <row r="19" spans="2:7" x14ac:dyDescent="0.3">
      <c r="B19" s="25" t="s">
        <v>333</v>
      </c>
      <c r="C19" s="29">
        <v>9</v>
      </c>
      <c r="D19" s="25" t="s">
        <v>336</v>
      </c>
      <c r="E19" s="29">
        <f t="shared" si="0"/>
        <v>9</v>
      </c>
      <c r="F19" s="67" t="s">
        <v>173</v>
      </c>
      <c r="G19" s="25">
        <v>6</v>
      </c>
    </row>
    <row r="20" spans="2:7" x14ac:dyDescent="0.3">
      <c r="B20" s="25" t="s">
        <v>333</v>
      </c>
      <c r="C20" s="29">
        <v>9</v>
      </c>
      <c r="D20" s="25" t="s">
        <v>337</v>
      </c>
      <c r="E20" s="29">
        <f t="shared" si="0"/>
        <v>9</v>
      </c>
      <c r="F20" s="67" t="s">
        <v>92</v>
      </c>
      <c r="G20" s="21">
        <v>5</v>
      </c>
    </row>
    <row r="21" spans="2:7" x14ac:dyDescent="0.3">
      <c r="B21" s="25" t="s">
        <v>338</v>
      </c>
      <c r="C21" s="29">
        <v>9</v>
      </c>
      <c r="D21" s="25" t="s">
        <v>337</v>
      </c>
      <c r="E21" s="29">
        <f t="shared" si="0"/>
        <v>9</v>
      </c>
      <c r="F21" s="67" t="s">
        <v>91</v>
      </c>
      <c r="G21" s="21">
        <v>5</v>
      </c>
    </row>
    <row r="22" spans="2:7" x14ac:dyDescent="0.3">
      <c r="B22" s="25" t="s">
        <v>338</v>
      </c>
      <c r="C22" s="29">
        <v>9</v>
      </c>
      <c r="D22" s="25" t="s">
        <v>104</v>
      </c>
      <c r="E22" s="29">
        <f t="shared" si="0"/>
        <v>9</v>
      </c>
      <c r="F22" s="67" t="s">
        <v>79</v>
      </c>
      <c r="G22" s="21">
        <v>5</v>
      </c>
    </row>
    <row r="23" spans="2:7" x14ac:dyDescent="0.3">
      <c r="B23" s="25" t="s">
        <v>339</v>
      </c>
      <c r="C23" s="29">
        <v>9</v>
      </c>
      <c r="D23" s="25" t="s">
        <v>104</v>
      </c>
      <c r="E23" s="29">
        <f t="shared" si="0"/>
        <v>9</v>
      </c>
      <c r="F23" s="67" t="s">
        <v>78</v>
      </c>
      <c r="G23" s="21">
        <v>5</v>
      </c>
    </row>
    <row r="24" spans="2:7" x14ac:dyDescent="0.3">
      <c r="B24" s="25" t="s">
        <v>339</v>
      </c>
      <c r="C24" s="29">
        <v>9</v>
      </c>
      <c r="D24" s="25" t="s">
        <v>325</v>
      </c>
      <c r="E24" s="29">
        <f t="shared" si="0"/>
        <v>9</v>
      </c>
      <c r="F24" s="67" t="s">
        <v>75</v>
      </c>
      <c r="G24" s="21">
        <v>9</v>
      </c>
    </row>
    <row r="25" spans="2:7" x14ac:dyDescent="0.3">
      <c r="B25" s="69" t="s">
        <v>336</v>
      </c>
      <c r="C25" s="29">
        <v>9</v>
      </c>
      <c r="D25" s="25" t="s">
        <v>335</v>
      </c>
      <c r="E25" s="29">
        <f t="shared" si="0"/>
        <v>9</v>
      </c>
      <c r="F25" s="68" t="s">
        <v>74</v>
      </c>
      <c r="G25" s="21">
        <v>9</v>
      </c>
    </row>
    <row r="26" spans="2:7" x14ac:dyDescent="0.3">
      <c r="B26" s="69" t="s">
        <v>336</v>
      </c>
      <c r="C26" s="29">
        <v>9</v>
      </c>
      <c r="D26" s="25" t="s">
        <v>339</v>
      </c>
      <c r="E26" s="29">
        <f t="shared" si="0"/>
        <v>9</v>
      </c>
      <c r="F26" s="68" t="s">
        <v>73</v>
      </c>
      <c r="G26" s="21">
        <v>9</v>
      </c>
    </row>
    <row r="27" spans="2:7" x14ac:dyDescent="0.3">
      <c r="B27" s="25" t="s">
        <v>340</v>
      </c>
      <c r="C27" s="29">
        <v>9</v>
      </c>
      <c r="D27" s="25" t="s">
        <v>339</v>
      </c>
      <c r="E27" s="29">
        <f t="shared" si="0"/>
        <v>9</v>
      </c>
      <c r="F27" s="67" t="s">
        <v>174</v>
      </c>
      <c r="G27" s="21">
        <v>9</v>
      </c>
    </row>
    <row r="28" spans="2:7" x14ac:dyDescent="0.3">
      <c r="B28" s="25" t="s">
        <v>341</v>
      </c>
      <c r="C28" s="29">
        <v>9</v>
      </c>
      <c r="D28" s="69" t="s">
        <v>342</v>
      </c>
      <c r="E28" s="29">
        <f t="shared" si="0"/>
        <v>9</v>
      </c>
      <c r="F28" s="67" t="s">
        <v>175</v>
      </c>
      <c r="G28" s="21">
        <v>9</v>
      </c>
    </row>
    <row r="29" spans="2:7" x14ac:dyDescent="0.3">
      <c r="B29" s="25" t="s">
        <v>343</v>
      </c>
      <c r="C29" s="29">
        <v>9</v>
      </c>
      <c r="D29" s="25" t="s">
        <v>344</v>
      </c>
      <c r="E29" s="29">
        <f t="shared" si="0"/>
        <v>9</v>
      </c>
      <c r="F29" s="67" t="s">
        <v>68</v>
      </c>
      <c r="G29" s="21">
        <v>6</v>
      </c>
    </row>
    <row r="30" spans="2:7" x14ac:dyDescent="0.3">
      <c r="B30" s="25" t="s">
        <v>345</v>
      </c>
      <c r="C30" s="27">
        <v>6</v>
      </c>
      <c r="D30" s="25" t="s">
        <v>346</v>
      </c>
      <c r="E30" s="29">
        <v>6</v>
      </c>
      <c r="F30" s="67" t="s">
        <v>67</v>
      </c>
      <c r="G30" s="21">
        <v>6</v>
      </c>
    </row>
    <row r="31" spans="2:7" x14ac:dyDescent="0.3">
      <c r="B31" s="25" t="s">
        <v>347</v>
      </c>
      <c r="C31" s="27">
        <v>6</v>
      </c>
      <c r="D31" s="25" t="s">
        <v>348</v>
      </c>
      <c r="E31" s="29">
        <v>6</v>
      </c>
      <c r="F31" s="67" t="s">
        <v>176</v>
      </c>
      <c r="G31" s="21">
        <v>9</v>
      </c>
    </row>
    <row r="32" spans="2:7" x14ac:dyDescent="0.3">
      <c r="B32" s="25" t="s">
        <v>349</v>
      </c>
      <c r="C32" s="29">
        <v>9</v>
      </c>
      <c r="D32" s="25" t="s">
        <v>350</v>
      </c>
      <c r="E32" s="29">
        <f t="shared" si="0"/>
        <v>9</v>
      </c>
      <c r="F32" s="67" t="s">
        <v>177</v>
      </c>
      <c r="G32" s="21">
        <v>9</v>
      </c>
    </row>
    <row r="33" spans="2:7" x14ac:dyDescent="0.3">
      <c r="B33" s="25" t="s">
        <v>351</v>
      </c>
      <c r="C33" s="29">
        <v>9</v>
      </c>
      <c r="D33" s="25" t="s">
        <v>352</v>
      </c>
      <c r="E33" s="29">
        <f t="shared" si="0"/>
        <v>9</v>
      </c>
      <c r="F33" s="67" t="s">
        <v>63</v>
      </c>
      <c r="G33" s="21">
        <v>9</v>
      </c>
    </row>
    <row r="34" spans="2:7" x14ac:dyDescent="0.3">
      <c r="B34" s="30"/>
      <c r="C34" s="30"/>
      <c r="D34" s="25" t="s">
        <v>353</v>
      </c>
      <c r="E34" s="29">
        <v>6</v>
      </c>
      <c r="F34" s="67" t="s">
        <v>62</v>
      </c>
      <c r="G34" s="21">
        <v>9</v>
      </c>
    </row>
    <row r="35" spans="2:7" x14ac:dyDescent="0.3">
      <c r="B35" s="26"/>
      <c r="C35" s="26"/>
      <c r="D35" s="25" t="s">
        <v>354</v>
      </c>
      <c r="E35" s="29">
        <v>9</v>
      </c>
      <c r="F35" s="67" t="s">
        <v>66</v>
      </c>
      <c r="G35" s="21">
        <v>9</v>
      </c>
    </row>
    <row r="36" spans="2:7" x14ac:dyDescent="0.3">
      <c r="B36" s="26"/>
      <c r="C36" s="26"/>
      <c r="D36" s="25" t="s">
        <v>355</v>
      </c>
      <c r="E36" s="29">
        <v>9</v>
      </c>
      <c r="F36" s="67" t="s">
        <v>65</v>
      </c>
      <c r="G36" s="21">
        <v>9</v>
      </c>
    </row>
    <row r="37" spans="2:7" x14ac:dyDescent="0.3">
      <c r="B37" s="26"/>
      <c r="C37" s="26"/>
      <c r="D37" s="25" t="s">
        <v>356</v>
      </c>
      <c r="E37" s="29">
        <v>9</v>
      </c>
      <c r="F37" s="68" t="s">
        <v>64</v>
      </c>
      <c r="G37" s="21">
        <v>9</v>
      </c>
    </row>
    <row r="38" spans="2:7" x14ac:dyDescent="0.3">
      <c r="B38" s="26"/>
      <c r="C38" s="26"/>
      <c r="D38" s="26"/>
      <c r="E38" s="26"/>
      <c r="F38" s="68" t="s">
        <v>69</v>
      </c>
      <c r="G38" s="21">
        <v>6</v>
      </c>
    </row>
    <row r="39" spans="2:7" x14ac:dyDescent="0.3">
      <c r="B39" s="26"/>
      <c r="C39" s="26"/>
      <c r="D39" s="26"/>
      <c r="E39" s="26"/>
      <c r="F39" s="67" t="s">
        <v>61</v>
      </c>
      <c r="G39" s="21">
        <v>6</v>
      </c>
    </row>
    <row r="40" spans="2:7" x14ac:dyDescent="0.3">
      <c r="B40" s="26"/>
      <c r="C40" s="26"/>
      <c r="D40" s="26"/>
      <c r="E40" s="26"/>
      <c r="F40" s="67" t="s">
        <v>82</v>
      </c>
      <c r="G40" s="21">
        <v>9</v>
      </c>
    </row>
    <row r="41" spans="2:7" x14ac:dyDescent="0.3">
      <c r="B41" s="26"/>
      <c r="C41" s="26"/>
      <c r="D41" s="26"/>
      <c r="E41" s="26"/>
      <c r="F41" s="67" t="s">
        <v>81</v>
      </c>
      <c r="G41" s="21">
        <v>9</v>
      </c>
    </row>
    <row r="42" spans="2:7" x14ac:dyDescent="0.3">
      <c r="B42" s="26"/>
      <c r="C42" s="26"/>
      <c r="D42" s="26"/>
      <c r="E42" s="26"/>
      <c r="F42" s="67" t="s">
        <v>80</v>
      </c>
      <c r="G42" s="21">
        <v>9</v>
      </c>
    </row>
    <row r="43" spans="2:7" x14ac:dyDescent="0.3">
      <c r="B43" s="26"/>
      <c r="C43" s="26"/>
      <c r="D43" s="26"/>
      <c r="E43" s="26"/>
      <c r="F43" s="68" t="s">
        <v>60</v>
      </c>
      <c r="G43" s="25">
        <v>6</v>
      </c>
    </row>
    <row r="44" spans="2:7" x14ac:dyDescent="0.3">
      <c r="B44" s="26"/>
      <c r="C44" s="26"/>
      <c r="D44" s="26"/>
      <c r="E44" s="26"/>
      <c r="F44" s="67" t="s">
        <v>77</v>
      </c>
      <c r="G44" s="21">
        <v>6</v>
      </c>
    </row>
    <row r="45" spans="2:7" x14ac:dyDescent="0.3">
      <c r="B45" s="26"/>
      <c r="C45" s="26"/>
      <c r="D45" s="26"/>
      <c r="E45" s="26"/>
      <c r="F45" s="67" t="s">
        <v>76</v>
      </c>
      <c r="G45" s="21">
        <v>6</v>
      </c>
    </row>
    <row r="46" spans="2:7" x14ac:dyDescent="0.3">
      <c r="B46" s="26"/>
      <c r="C46" s="26"/>
      <c r="D46" s="26"/>
      <c r="E46" s="26"/>
      <c r="F46" s="67" t="s">
        <v>59</v>
      </c>
      <c r="G46" s="21">
        <v>9</v>
      </c>
    </row>
    <row r="47" spans="2:7" x14ac:dyDescent="0.3">
      <c r="B47" s="26"/>
      <c r="C47" s="26"/>
      <c r="D47" s="26"/>
      <c r="E47" s="26"/>
      <c r="F47" s="67" t="s">
        <v>59</v>
      </c>
      <c r="G47" s="21">
        <v>9</v>
      </c>
    </row>
    <row r="48" spans="2:7" x14ac:dyDescent="0.3">
      <c r="B48" s="26"/>
      <c r="C48" s="26"/>
      <c r="D48" s="26"/>
      <c r="E48" s="26"/>
      <c r="F48" s="67" t="s">
        <v>59</v>
      </c>
      <c r="G48" s="21">
        <v>9</v>
      </c>
    </row>
    <row r="49" spans="2:7" x14ac:dyDescent="0.3">
      <c r="B49" s="26"/>
      <c r="C49" s="26"/>
      <c r="D49" s="26"/>
      <c r="E49" s="26"/>
      <c r="F49" s="67" t="s">
        <v>59</v>
      </c>
      <c r="G49" s="21">
        <v>9</v>
      </c>
    </row>
    <row r="50" spans="2:7" x14ac:dyDescent="0.3">
      <c r="B50" s="26"/>
      <c r="C50" s="26"/>
      <c r="D50" s="26"/>
      <c r="E50" s="26"/>
      <c r="F50" s="67" t="s">
        <v>59</v>
      </c>
      <c r="G50" s="21">
        <v>9</v>
      </c>
    </row>
    <row r="51" spans="2:7" x14ac:dyDescent="0.3">
      <c r="B51" s="26"/>
      <c r="C51" s="26"/>
      <c r="D51" s="26"/>
      <c r="E51" s="26"/>
      <c r="F51" s="67" t="s">
        <v>59</v>
      </c>
      <c r="G51" s="21">
        <v>9</v>
      </c>
    </row>
    <row r="52" spans="2:7" x14ac:dyDescent="0.3">
      <c r="B52" s="26"/>
      <c r="C52" s="26"/>
      <c r="D52" s="26"/>
      <c r="E52" s="26"/>
      <c r="F52" s="67" t="s">
        <v>59</v>
      </c>
      <c r="G52" s="21">
        <v>9</v>
      </c>
    </row>
    <row r="53" spans="2:7" x14ac:dyDescent="0.3">
      <c r="B53" s="26"/>
      <c r="C53" s="26"/>
      <c r="D53" s="26"/>
      <c r="E53" s="26"/>
      <c r="F53" s="67" t="s">
        <v>59</v>
      </c>
      <c r="G53" s="21">
        <v>9</v>
      </c>
    </row>
    <row r="54" spans="2:7" x14ac:dyDescent="0.3">
      <c r="B54" s="26"/>
      <c r="C54" s="26"/>
      <c r="D54" s="26"/>
      <c r="E54" s="26"/>
      <c r="F54" s="67" t="s">
        <v>59</v>
      </c>
      <c r="G54" s="21">
        <v>9</v>
      </c>
    </row>
    <row r="55" spans="2:7" x14ac:dyDescent="0.3">
      <c r="B55" s="26"/>
      <c r="C55" s="26"/>
      <c r="D55" s="26"/>
      <c r="E55" s="26"/>
      <c r="F55" s="67" t="s">
        <v>59</v>
      </c>
      <c r="G55" s="21">
        <v>9</v>
      </c>
    </row>
    <row r="56" spans="2:7" x14ac:dyDescent="0.3">
      <c r="B56" s="26"/>
      <c r="C56" s="26"/>
      <c r="D56" s="26"/>
      <c r="E56" s="26"/>
      <c r="F56" s="67" t="s">
        <v>59</v>
      </c>
      <c r="G56" s="21">
        <v>9</v>
      </c>
    </row>
    <row r="57" spans="2:7" x14ac:dyDescent="0.3">
      <c r="B57" s="26"/>
      <c r="C57" s="26"/>
      <c r="D57" s="26"/>
      <c r="E57" s="26"/>
      <c r="F57" s="67" t="s">
        <v>59</v>
      </c>
      <c r="G57" s="21">
        <v>9</v>
      </c>
    </row>
    <row r="58" spans="2:7" x14ac:dyDescent="0.3">
      <c r="B58" s="26"/>
      <c r="C58" s="26"/>
      <c r="D58" s="26"/>
      <c r="E58" s="26"/>
      <c r="F58" s="67" t="s">
        <v>59</v>
      </c>
      <c r="G58" s="21">
        <v>9</v>
      </c>
    </row>
    <row r="59" spans="2:7" x14ac:dyDescent="0.3">
      <c r="B59" s="26"/>
      <c r="C59" s="26"/>
      <c r="D59" s="26"/>
      <c r="E59" s="26"/>
      <c r="F59" s="67" t="s">
        <v>59</v>
      </c>
      <c r="G59" s="21">
        <v>9</v>
      </c>
    </row>
    <row r="60" spans="2:7" x14ac:dyDescent="0.3">
      <c r="B60" s="26"/>
      <c r="C60" s="26"/>
      <c r="D60" s="26"/>
      <c r="E60" s="26"/>
      <c r="F60" s="67" t="s">
        <v>58</v>
      </c>
      <c r="G60" s="21">
        <v>9</v>
      </c>
    </row>
    <row r="61" spans="2:7" x14ac:dyDescent="0.3">
      <c r="B61" s="26"/>
      <c r="C61" s="26"/>
      <c r="D61" s="26"/>
      <c r="E61" s="26"/>
      <c r="F61" s="67" t="s">
        <v>58</v>
      </c>
      <c r="G61" s="21">
        <v>9</v>
      </c>
    </row>
    <row r="62" spans="2:7" x14ac:dyDescent="0.3">
      <c r="B62" s="26"/>
      <c r="C62" s="26"/>
      <c r="D62" s="26"/>
      <c r="E62" s="26"/>
      <c r="F62" s="67" t="s">
        <v>57</v>
      </c>
      <c r="G62" s="21">
        <v>9</v>
      </c>
    </row>
    <row r="63" spans="2:7" x14ac:dyDescent="0.3">
      <c r="B63" s="26"/>
      <c r="C63" s="26"/>
      <c r="D63" s="26"/>
      <c r="E63" s="26"/>
      <c r="F63" s="67" t="s">
        <v>57</v>
      </c>
      <c r="G63" s="21">
        <v>9</v>
      </c>
    </row>
    <row r="64" spans="2:7" x14ac:dyDescent="0.3">
      <c r="B64" s="26"/>
      <c r="C64" s="26"/>
      <c r="D64" s="26"/>
      <c r="E64" s="26"/>
      <c r="F64" s="67" t="s">
        <v>57</v>
      </c>
      <c r="G64" s="21">
        <v>9</v>
      </c>
    </row>
    <row r="65" spans="2:7" x14ac:dyDescent="0.3">
      <c r="B65" s="26"/>
      <c r="C65" s="26"/>
      <c r="D65" s="26"/>
      <c r="E65" s="26"/>
      <c r="F65" s="67" t="s">
        <v>57</v>
      </c>
      <c r="G65" s="21">
        <v>9</v>
      </c>
    </row>
    <row r="66" spans="2:7" x14ac:dyDescent="0.3">
      <c r="B66" s="26"/>
      <c r="C66" s="26"/>
      <c r="D66" s="26"/>
      <c r="E66" s="26"/>
      <c r="F66" s="67" t="s">
        <v>57</v>
      </c>
      <c r="G66" s="21">
        <v>9</v>
      </c>
    </row>
    <row r="67" spans="2:7" x14ac:dyDescent="0.3">
      <c r="B67" s="26"/>
      <c r="C67" s="26"/>
      <c r="D67" s="26"/>
      <c r="E67" s="26"/>
      <c r="F67" s="67" t="s">
        <v>57</v>
      </c>
      <c r="G67" s="21">
        <v>9</v>
      </c>
    </row>
    <row r="68" spans="2:7" x14ac:dyDescent="0.3">
      <c r="B68" s="26"/>
      <c r="C68" s="26"/>
      <c r="D68" s="26"/>
      <c r="E68" s="26"/>
      <c r="F68" s="67" t="s">
        <v>95</v>
      </c>
      <c r="G68" s="21">
        <v>9</v>
      </c>
    </row>
    <row r="69" spans="2:7" x14ac:dyDescent="0.3">
      <c r="B69" s="26"/>
      <c r="C69" s="26"/>
      <c r="D69" s="26"/>
      <c r="E69" s="26"/>
      <c r="F69" s="67" t="s">
        <v>94</v>
      </c>
      <c r="G69" s="21">
        <v>9</v>
      </c>
    </row>
    <row r="70" spans="2:7" x14ac:dyDescent="0.3">
      <c r="B70" s="26"/>
      <c r="C70" s="26"/>
      <c r="D70" s="26"/>
      <c r="E70" s="26"/>
      <c r="F70" s="67" t="s">
        <v>56</v>
      </c>
      <c r="G70" s="21">
        <v>9</v>
      </c>
    </row>
    <row r="71" spans="2:7" x14ac:dyDescent="0.3">
      <c r="B71" s="26"/>
      <c r="C71" s="26"/>
      <c r="D71" s="26"/>
      <c r="E71" s="26"/>
      <c r="F71" s="67" t="s">
        <v>54</v>
      </c>
      <c r="G71" s="21">
        <v>9</v>
      </c>
    </row>
    <row r="72" spans="2:7" x14ac:dyDescent="0.3">
      <c r="B72" s="26"/>
      <c r="C72" s="26"/>
      <c r="D72" s="26"/>
      <c r="E72" s="26"/>
      <c r="F72" s="67" t="s">
        <v>55</v>
      </c>
      <c r="G72" s="21">
        <v>9</v>
      </c>
    </row>
    <row r="73" spans="2:7" x14ac:dyDescent="0.3">
      <c r="B73" s="26"/>
      <c r="C73" s="26"/>
      <c r="D73" s="26"/>
      <c r="E73" s="26"/>
      <c r="F73" s="67" t="s">
        <v>53</v>
      </c>
      <c r="G73" s="21">
        <v>9</v>
      </c>
    </row>
    <row r="74" spans="2:7" x14ac:dyDescent="0.3">
      <c r="B74" s="26"/>
      <c r="C74" s="26"/>
      <c r="D74" s="26"/>
      <c r="E74" s="26"/>
      <c r="F74" s="67" t="s">
        <v>52</v>
      </c>
      <c r="G74" s="21">
        <v>6</v>
      </c>
    </row>
    <row r="75" spans="2:7" x14ac:dyDescent="0.3">
      <c r="B75" s="26"/>
      <c r="C75" s="26"/>
      <c r="D75" s="26"/>
      <c r="E75" s="26"/>
      <c r="F75" s="67" t="s">
        <v>50</v>
      </c>
      <c r="G75" s="21">
        <v>6</v>
      </c>
    </row>
    <row r="76" spans="2:7" x14ac:dyDescent="0.3">
      <c r="B76" s="26"/>
      <c r="C76" s="26"/>
      <c r="D76" s="26"/>
      <c r="E76" s="26"/>
      <c r="F76" s="67" t="s">
        <v>51</v>
      </c>
      <c r="G76" s="21">
        <v>6</v>
      </c>
    </row>
    <row r="77" spans="2:7" x14ac:dyDescent="0.3">
      <c r="B77" s="26"/>
      <c r="C77" s="26"/>
      <c r="D77" s="26"/>
      <c r="E77" s="26"/>
      <c r="F77" s="67" t="s">
        <v>49</v>
      </c>
      <c r="G77" s="21">
        <v>6</v>
      </c>
    </row>
    <row r="78" spans="2:7" x14ac:dyDescent="0.3">
      <c r="B78" s="26"/>
      <c r="C78" s="26"/>
      <c r="D78" s="26"/>
      <c r="E78" s="26"/>
      <c r="F78" s="67" t="s">
        <v>48</v>
      </c>
      <c r="G78" s="21">
        <v>6</v>
      </c>
    </row>
    <row r="79" spans="2:7" x14ac:dyDescent="0.3">
      <c r="B79" s="26"/>
      <c r="C79" s="26"/>
      <c r="D79" s="26"/>
      <c r="E79" s="26"/>
      <c r="F79" s="67" t="s">
        <v>70</v>
      </c>
      <c r="G79" s="21">
        <v>6</v>
      </c>
    </row>
    <row r="80" spans="2:7" x14ac:dyDescent="0.3">
      <c r="B80" s="26"/>
      <c r="C80" s="26"/>
      <c r="D80" s="26"/>
      <c r="E80" s="26"/>
      <c r="F80" s="67" t="s">
        <v>71</v>
      </c>
      <c r="G80" s="21">
        <v>6</v>
      </c>
    </row>
    <row r="81" spans="2:7" x14ac:dyDescent="0.3">
      <c r="B81" s="26"/>
      <c r="C81" s="26"/>
      <c r="D81" s="26"/>
      <c r="E81" s="26"/>
      <c r="F81" s="21" t="s">
        <v>99</v>
      </c>
      <c r="G81" s="21">
        <v>6</v>
      </c>
    </row>
    <row r="82" spans="2:7" x14ac:dyDescent="0.3">
      <c r="B82" s="26"/>
      <c r="C82" s="26"/>
      <c r="D82" s="26"/>
      <c r="E82" s="26"/>
      <c r="F82" s="21" t="s">
        <v>98</v>
      </c>
      <c r="G82" s="21">
        <v>6</v>
      </c>
    </row>
    <row r="83" spans="2:7" x14ac:dyDescent="0.3">
      <c r="B83" s="26"/>
      <c r="C83" s="26"/>
      <c r="D83" s="26"/>
      <c r="E83" s="26"/>
      <c r="F83" s="21" t="s">
        <v>97</v>
      </c>
      <c r="G83" s="21">
        <v>6</v>
      </c>
    </row>
    <row r="84" spans="2:7" x14ac:dyDescent="0.3">
      <c r="B84" s="26"/>
      <c r="C84" s="26"/>
      <c r="D84" s="26"/>
      <c r="E84" s="26"/>
      <c r="F84" s="21" t="s">
        <v>357</v>
      </c>
      <c r="G84" s="21">
        <v>6</v>
      </c>
    </row>
    <row r="85" spans="2:7" x14ac:dyDescent="0.3">
      <c r="B85" s="26"/>
      <c r="C85" s="26"/>
      <c r="D85" s="26"/>
      <c r="E85" s="26"/>
      <c r="F85" s="21" t="s">
        <v>96</v>
      </c>
      <c r="G85" s="21">
        <v>9</v>
      </c>
    </row>
    <row r="86" spans="2:7" x14ac:dyDescent="0.3">
      <c r="B86" s="26"/>
      <c r="C86" s="26"/>
      <c r="D86" s="26"/>
      <c r="E86" s="26"/>
      <c r="F86" s="21" t="s">
        <v>100</v>
      </c>
      <c r="G86" s="21">
        <v>9</v>
      </c>
    </row>
    <row r="87" spans="2:7" x14ac:dyDescent="0.3">
      <c r="B87" s="26"/>
      <c r="C87" s="26"/>
      <c r="D87" s="26"/>
      <c r="E87" s="26"/>
      <c r="F87" s="21" t="s">
        <v>101</v>
      </c>
      <c r="G87" s="21">
        <v>9</v>
      </c>
    </row>
    <row r="88" spans="2:7" x14ac:dyDescent="0.3">
      <c r="B88" s="26"/>
      <c r="C88" s="26"/>
      <c r="D88" s="26"/>
      <c r="E88" s="26"/>
      <c r="F88" s="70" t="s">
        <v>178</v>
      </c>
      <c r="G88" s="21">
        <v>9</v>
      </c>
    </row>
    <row r="89" spans="2:7" x14ac:dyDescent="0.3">
      <c r="B89" s="26"/>
      <c r="C89" s="26"/>
      <c r="D89" s="26"/>
      <c r="E89" s="26"/>
      <c r="F89" s="21" t="s">
        <v>86</v>
      </c>
      <c r="G89" s="21">
        <v>9</v>
      </c>
    </row>
    <row r="90" spans="2:7" x14ac:dyDescent="0.3">
      <c r="B90" s="26"/>
      <c r="C90" s="26"/>
      <c r="D90" s="26"/>
      <c r="E90" s="26"/>
      <c r="F90" s="21" t="s">
        <v>83</v>
      </c>
      <c r="G90" s="21">
        <v>9</v>
      </c>
    </row>
    <row r="91" spans="2:7" x14ac:dyDescent="0.3">
      <c r="B91" s="26"/>
      <c r="C91" s="26"/>
      <c r="D91" s="26"/>
      <c r="E91" s="26"/>
      <c r="F91" s="21" t="s">
        <v>85</v>
      </c>
      <c r="G91" s="21">
        <v>9</v>
      </c>
    </row>
    <row r="92" spans="2:7" x14ac:dyDescent="0.3">
      <c r="B92" s="26"/>
      <c r="C92" s="26"/>
      <c r="D92" s="26"/>
      <c r="E92" s="26"/>
      <c r="F92" s="21" t="s">
        <v>84</v>
      </c>
      <c r="G92" s="21">
        <v>9</v>
      </c>
    </row>
    <row r="93" spans="2:7" x14ac:dyDescent="0.3">
      <c r="B93" s="26"/>
      <c r="C93" s="26"/>
      <c r="D93" s="26"/>
      <c r="E93" s="26"/>
      <c r="F93" s="71" t="s">
        <v>72</v>
      </c>
      <c r="G93" s="21">
        <v>6</v>
      </c>
    </row>
    <row r="94" spans="2:7" x14ac:dyDescent="0.3">
      <c r="B94" s="26"/>
      <c r="C94" s="26"/>
      <c r="D94" s="26"/>
      <c r="E94" s="26"/>
      <c r="F94" s="21" t="s">
        <v>179</v>
      </c>
      <c r="G94" s="21">
        <v>6</v>
      </c>
    </row>
    <row r="95" spans="2:7" x14ac:dyDescent="0.3">
      <c r="B95" s="26"/>
      <c r="C95" s="26"/>
      <c r="D95" s="26"/>
      <c r="E95" s="26"/>
      <c r="F95" s="21" t="s">
        <v>180</v>
      </c>
      <c r="G95" s="21">
        <v>6</v>
      </c>
    </row>
    <row r="96" spans="2:7" x14ac:dyDescent="0.3">
      <c r="B96" s="26"/>
      <c r="C96" s="26"/>
      <c r="D96" s="26"/>
      <c r="E96" s="26"/>
      <c r="F96" s="21" t="s">
        <v>181</v>
      </c>
      <c r="G96" s="21">
        <v>6</v>
      </c>
    </row>
    <row r="97" spans="2:7" x14ac:dyDescent="0.3">
      <c r="B97" s="26"/>
      <c r="C97" s="26"/>
      <c r="D97" s="26"/>
      <c r="E97" s="26"/>
      <c r="F97" s="21" t="s">
        <v>182</v>
      </c>
      <c r="G97" s="21">
        <v>6</v>
      </c>
    </row>
    <row r="98" spans="2:7" x14ac:dyDescent="0.3">
      <c r="B98" s="26"/>
      <c r="C98" s="26"/>
      <c r="D98" s="26"/>
      <c r="E98" s="26"/>
      <c r="F98" s="21" t="s">
        <v>183</v>
      </c>
      <c r="G98" s="21">
        <v>6</v>
      </c>
    </row>
    <row r="99" spans="2:7" x14ac:dyDescent="0.3">
      <c r="B99" s="26"/>
      <c r="C99" s="26"/>
      <c r="D99" s="26"/>
      <c r="E99" s="26"/>
      <c r="F99" s="21" t="s">
        <v>184</v>
      </c>
      <c r="G99" s="21">
        <v>6</v>
      </c>
    </row>
    <row r="100" spans="2:7" x14ac:dyDescent="0.3">
      <c r="B100" s="26"/>
      <c r="C100" s="26"/>
      <c r="D100" s="26"/>
      <c r="E100" s="26"/>
      <c r="F100" s="21" t="s">
        <v>185</v>
      </c>
      <c r="G100" s="21">
        <v>6</v>
      </c>
    </row>
    <row r="101" spans="2:7" x14ac:dyDescent="0.3">
      <c r="B101" s="26"/>
      <c r="C101" s="26"/>
      <c r="D101" s="26"/>
      <c r="E101" s="26"/>
      <c r="F101" s="25" t="s">
        <v>358</v>
      </c>
      <c r="G101" s="25">
        <v>9</v>
      </c>
    </row>
    <row r="102" spans="2:7" x14ac:dyDescent="0.3">
      <c r="B102" s="26"/>
      <c r="C102" s="26"/>
      <c r="D102" s="26"/>
      <c r="E102" s="26"/>
      <c r="F102" s="25" t="s">
        <v>359</v>
      </c>
      <c r="G102" s="75">
        <v>9</v>
      </c>
    </row>
  </sheetData>
  <mergeCells count="3">
    <mergeCell ref="B4:C4"/>
    <mergeCell ref="D4:E4"/>
    <mergeCell ref="F4:G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E4C5BAF7E6494D87DBBB906F74028E" ma:contentTypeVersion="11" ma:contentTypeDescription="Create a new document." ma:contentTypeScope="" ma:versionID="da559426797ae7b1a110d27d3e496d85">
  <xsd:schema xmlns:xsd="http://www.w3.org/2001/XMLSchema" xmlns:xs="http://www.w3.org/2001/XMLSchema" xmlns:p="http://schemas.microsoft.com/office/2006/metadata/properties" xmlns:ns2="4238b3ef-7a22-41ff-81a6-c7ff4166d058" targetNamespace="http://schemas.microsoft.com/office/2006/metadata/properties" ma:root="true" ma:fieldsID="75138fec171a0a9b0f407b680616cc66" ns2:_="">
    <xsd:import namespace="4238b3ef-7a22-41ff-81a6-c7ff4166d05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38b3ef-7a22-41ff-81a6-c7ff4166d0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c9d1903-8d39-4f87-aaee-837687c2387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Props1.xml><?xml version="1.0" encoding="utf-8"?>
<ds:datastoreItem xmlns:ds="http://schemas.openxmlformats.org/officeDocument/2006/customXml" ds:itemID="{CD3756E1-CFCB-46A5-8EEB-2AD26CA26FF0}">
  <ds:schemaRefs>
    <ds:schemaRef ds:uri="http://schemas.microsoft.com/sharepoint/v3/contenttype/forms"/>
  </ds:schemaRefs>
</ds:datastoreItem>
</file>

<file path=customXml/itemProps2.xml><?xml version="1.0" encoding="utf-8"?>
<ds:datastoreItem xmlns:ds="http://schemas.openxmlformats.org/officeDocument/2006/customXml" ds:itemID="{DAC70050-41FE-42A7-9A59-51FC19F624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38b3ef-7a22-41ff-81a6-c7ff4166d0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473670-3DC5-4246-B744-792AA8A9EB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vt:lpstr>
      <vt:lpstr>Risk Assessment</vt:lpstr>
      <vt:lpstr>Criteria</vt:lpstr>
      <vt:lpstr>Asset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sheraz.ghayoor@risk-associates.com;maqsood.ibrahim@risk-associates.com</dc:creator>
  <cp:lastModifiedBy>Salman Rizvi</cp:lastModifiedBy>
  <cp:lastPrinted>2022-06-13T11:48:10Z</cp:lastPrinted>
  <dcterms:created xsi:type="dcterms:W3CDTF">2013-09-16T16:27:54Z</dcterms:created>
  <dcterms:modified xsi:type="dcterms:W3CDTF">2022-06-15T11:10:33Z</dcterms:modified>
</cp:coreProperties>
</file>