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370E96B-5323-4E15-A9E1-DC7FB16DE029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Read Me" sheetId="1" r:id="rId1"/>
    <sheet name="Assessment" sheetId="3" r:id="rId2"/>
    <sheet name="Dashboard" sheetId="4" r:id="rId3"/>
    <sheet name="Remediation Plan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4" l="1"/>
  <c r="D20" i="4"/>
  <c r="C20" i="4"/>
  <c r="C19" i="4"/>
  <c r="D18" i="4"/>
  <c r="C18" i="4"/>
  <c r="C17" i="4"/>
  <c r="C16" i="4"/>
  <c r="C15" i="4"/>
  <c r="D14" i="4"/>
  <c r="C14" i="4"/>
  <c r="C13" i="4"/>
  <c r="D12" i="4"/>
  <c r="C12" i="4"/>
  <c r="C11" i="4"/>
  <c r="C10" i="4"/>
  <c r="C9" i="4"/>
  <c r="C4" i="4"/>
  <c r="C3" i="4"/>
  <c r="H49" i="3"/>
  <c r="H48" i="3"/>
  <c r="F21" i="4" s="1"/>
  <c r="H47" i="3"/>
  <c r="H46" i="3"/>
  <c r="H45" i="3"/>
  <c r="H44" i="3"/>
  <c r="F20" i="4" s="1"/>
  <c r="H43" i="3"/>
  <c r="H42" i="3"/>
  <c r="H41" i="3"/>
  <c r="F19" i="4" s="1"/>
  <c r="H40" i="3"/>
  <c r="H39" i="3"/>
  <c r="H38" i="3"/>
  <c r="F18" i="4" s="1"/>
  <c r="H37" i="3"/>
  <c r="H36" i="3"/>
  <c r="F17" i="4" s="1"/>
  <c r="H35" i="3"/>
  <c r="H34" i="3"/>
  <c r="F16" i="4" s="1"/>
  <c r="H33" i="3"/>
  <c r="H32" i="3"/>
  <c r="H31" i="3"/>
  <c r="F15" i="4" s="1"/>
  <c r="H30" i="3"/>
  <c r="E14" i="4" s="1"/>
  <c r="H29" i="3"/>
  <c r="F14" i="4" s="1"/>
  <c r="H28" i="3"/>
  <c r="H27" i="3"/>
  <c r="H26" i="3"/>
  <c r="H25" i="3"/>
  <c r="H24" i="3"/>
  <c r="H23" i="3"/>
  <c r="D13" i="4" s="1"/>
  <c r="H22" i="3"/>
  <c r="F13" i="4" s="1"/>
  <c r="H21" i="3"/>
  <c r="H20" i="3"/>
  <c r="F12" i="4" s="1"/>
  <c r="H19" i="3"/>
  <c r="H18" i="3"/>
  <c r="H17" i="3"/>
  <c r="H16" i="3"/>
  <c r="H15" i="3"/>
  <c r="F11" i="4" s="1"/>
  <c r="H14" i="3"/>
  <c r="H13" i="3"/>
  <c r="H12" i="3"/>
  <c r="H11" i="3"/>
  <c r="H10" i="3"/>
  <c r="D10" i="4" s="1"/>
  <c r="H9" i="3"/>
  <c r="H8" i="3"/>
  <c r="H7" i="3"/>
  <c r="H6" i="3"/>
  <c r="H5" i="3"/>
  <c r="H4" i="3"/>
  <c r="H3" i="3"/>
  <c r="F9" i="4" s="1"/>
  <c r="C5" i="4" l="1"/>
  <c r="E10" i="4"/>
  <c r="E16" i="4"/>
  <c r="E18" i="4"/>
  <c r="E20" i="4"/>
  <c r="D16" i="4"/>
  <c r="E12" i="4"/>
  <c r="C6" i="4"/>
  <c r="F10" i="4"/>
  <c r="D19" i="4"/>
  <c r="D21" i="4"/>
  <c r="D11" i="4"/>
  <c r="D15" i="4"/>
  <c r="E9" i="4"/>
  <c r="E11" i="4"/>
  <c r="E13" i="4"/>
  <c r="E15" i="4"/>
  <c r="E17" i="4"/>
  <c r="E19" i="4"/>
  <c r="E21" i="4"/>
  <c r="D9" i="4"/>
  <c r="D17" i="4"/>
</calcChain>
</file>

<file path=xl/sharedStrings.xml><?xml version="1.0" encoding="utf-8"?>
<sst xmlns="http://schemas.openxmlformats.org/spreadsheetml/2006/main" count="352" uniqueCount="293">
  <si>
    <t>PDPL Compliance Assessment Toolkit</t>
  </si>
  <si>
    <t>Kingdom of Saudi Arabia — Personal Data Protection Law (Royal Decree M/19, amended M/148) | Overseen by SDAIA</t>
  </si>
  <si>
    <t>Purpose</t>
  </si>
  <si>
    <t>A control-based methodology to assess a Saudi enterprise's compliance against the PDPL and its Implementing Regulations. Built for security/IT consultants: PDPL obligations are expressed as controls, scored on a maturity scale, evidenced, and tracked to remediation — the same way you would run an ISO 27001 or NCA ECC gap assessment.</t>
  </si>
  <si>
    <t>How to use</t>
  </si>
  <si>
    <t>1. Complete the 'Client Profile' tab to scope the engagement and flag which special regimes apply (health, credit, cross-border).</t>
  </si>
  <si>
    <t>2. Work through the 'Assessment' tab. For each control, ask the assessment question, request the listed evidence, and record a Maturity Score (0-5). Compliance Status is calculated automatically.</t>
  </si>
  <si>
    <t>3. Capture findings, assign a Risk Rating, and write the remediation action, priority and owner.</t>
  </si>
  <si>
    <t>4. The 'Dashboard' tab summarises maturity and compliance by domain automatically.</t>
  </si>
  <si>
    <t>5. Use the 'Remediation Plan' tab as the client-facing action log.</t>
  </si>
  <si>
    <t>Maturity scale (0-5)</t>
  </si>
  <si>
    <t>0  Absent — control does not exist.</t>
  </si>
  <si>
    <t>1  Initial — ad hoc, undocumented, inconsistent.</t>
  </si>
  <si>
    <t>2  Developing — informal practice exists but not standardised.</t>
  </si>
  <si>
    <t>3  Defined — documented, approved and in use (baseline 'compliant').</t>
  </si>
  <si>
    <t>4  Managed — monitored, measured and enforced.</t>
  </si>
  <si>
    <t>5  Optimised — continuously improved and integrated.</t>
  </si>
  <si>
    <t>Compliance Status auto-derives: 3-5 = Compliant, 1-2 = Partial, 0 = Non-Compliant, blank = Not Assessed.</t>
  </si>
  <si>
    <t>Scope note</t>
  </si>
  <si>
    <t>The PDPL has extraterritorial reach (Art. 2) and delegates much detail to the Implementing Regulations, which were under a third public consultation in 2025. Verify control wording against the current Regulations before client delivery. This toolkit is a working aid, not legal advice.</t>
  </si>
  <si>
    <t>PDPL Compliance Assessment — Control Matrix</t>
  </si>
  <si>
    <t>Control ID</t>
  </si>
  <si>
    <t>Domain</t>
  </si>
  <si>
    <t>PDPL Ref.</t>
  </si>
  <si>
    <t>Control Requirement</t>
  </si>
  <si>
    <t>Assessment Question</t>
  </si>
  <si>
    <t>Evidence to Request</t>
  </si>
  <si>
    <t>Maturity (0-5)</t>
  </si>
  <si>
    <t>Compliance Status</t>
  </si>
  <si>
    <t>Findings / Gap</t>
  </si>
  <si>
    <t>Risk Rating</t>
  </si>
  <si>
    <t>Remediation Action</t>
  </si>
  <si>
    <t>Priority</t>
  </si>
  <si>
    <t>Owner</t>
  </si>
  <si>
    <t>Target Date</t>
  </si>
  <si>
    <t>G-01</t>
  </si>
  <si>
    <t>Governance &amp; Accountability</t>
  </si>
  <si>
    <t>Art. 30(2)</t>
  </si>
  <si>
    <t>Determine and appoint a Data Protection Officer where required by the Regulations.</t>
  </si>
  <si>
    <t>Has the entity assessed whether a DPO is required, and appointed one with defined responsibilities?</t>
  </si>
  <si>
    <t>DPO appointment letter; role mandate; org chart</t>
  </si>
  <si>
    <t>G-02</t>
  </si>
  <si>
    <t>Art. 31</t>
  </si>
  <si>
    <t>Maintain Records of Processing Activities (ROPA) with the minimum required fields.</t>
  </si>
  <si>
    <t>Is a ROPA maintained covering contact details, purposes, data subject categories, recipients, transfers and retention periods?</t>
  </si>
  <si>
    <t>ROPA register</t>
  </si>
  <si>
    <t>G-03</t>
  </si>
  <si>
    <t>Art. 22</t>
  </si>
  <si>
    <t>Conduct data protection impact assessments for relevant products/services.</t>
  </si>
  <si>
    <t>Are impact assessments performed based on the nature of processing activities?</t>
  </si>
  <si>
    <t>DPIA procedure; completed DPIAs</t>
  </si>
  <si>
    <t>G-04</t>
  </si>
  <si>
    <t>Art. 41</t>
  </si>
  <si>
    <t>Bind staff and contractors to confidentiality, including after the relationship ends.</t>
  </si>
  <si>
    <t>Are all persons processing personal data under enforceable confidentiality obligations?</t>
  </si>
  <si>
    <t>NDAs; employment/contract clauses</t>
  </si>
  <si>
    <t>G-05</t>
  </si>
  <si>
    <t>Art. 30(3)</t>
  </si>
  <si>
    <t>Cooperate with the Competent Authority and act on its requests.</t>
  </si>
  <si>
    <t>Is there a defined process to respond to SDAIA information requests and directions?</t>
  </si>
  <si>
    <t>SDAIA liaison procedure</t>
  </si>
  <si>
    <t>G-06</t>
  </si>
  <si>
    <t>Art. 30(4)/33</t>
  </si>
  <si>
    <t>Register in the SDAIA national register where applicable.</t>
  </si>
  <si>
    <t>Has the entity registered, or assessed its obligation to register, with SDAIA?</t>
  </si>
  <si>
    <t>Registration confirmation</t>
  </si>
  <si>
    <t>G-07</t>
  </si>
  <si>
    <t>General</t>
  </si>
  <si>
    <t>Establish an overarching data protection governance framework with clear ownership.</t>
  </si>
  <si>
    <t>Is there an approved data protection policy and an accountable owner?</t>
  </si>
  <si>
    <t>Governance policy; RACI</t>
  </si>
  <si>
    <t>C-01</t>
  </si>
  <si>
    <t>Lawful Basis &amp; Consent</t>
  </si>
  <si>
    <t>Art. 5(1)</t>
  </si>
  <si>
    <t>Obtain consent before processing, or before changing the purpose, unless an exception applies.</t>
  </si>
  <si>
    <t>Is valid consent captured before processing, with purpose-change controls?</t>
  </si>
  <si>
    <t>Consent records; configuration</t>
  </si>
  <si>
    <t>C-02</t>
  </si>
  <si>
    <t>Handle explicit-consent cases and legal-guardian consent for those lacking capacity.</t>
  </si>
  <si>
    <t>Are explicit-consent scenarios and guardian consent mechanisms in place?</t>
  </si>
  <si>
    <t>Consent flows; capacity controls</t>
  </si>
  <si>
    <t>C-03</t>
  </si>
  <si>
    <t>Art. 5(2)</t>
  </si>
  <si>
    <t>Allow data subjects to withdraw consent at any time.</t>
  </si>
  <si>
    <t>Can a data subject easily withdraw consent, with downstream effect?</t>
  </si>
  <si>
    <t>Withdrawal mechanism; logs</t>
  </si>
  <si>
    <t>C-04</t>
  </si>
  <si>
    <t>Art. 6</t>
  </si>
  <si>
    <t>Document and validate any reliance on non-consent legal bases.</t>
  </si>
  <si>
    <t>Where processing relies on Art. 6 bases (legitimate interest, legal obligation, etc.), is each documented and justified?</t>
  </si>
  <si>
    <t>Legal basis register; LIA</t>
  </si>
  <si>
    <t>C-05</t>
  </si>
  <si>
    <t>Art. 7</t>
  </si>
  <si>
    <t>Do not condition a service on consent unless directly related to that processing.</t>
  </si>
  <si>
    <t>Is consent free of improper bundling with unrelated services?</t>
  </si>
  <si>
    <t>Policy/UX review</t>
  </si>
  <si>
    <t>CL-01</t>
  </si>
  <si>
    <t>Collection &amp; Purpose Limitation</t>
  </si>
  <si>
    <t>Art. 10</t>
  </si>
  <si>
    <t>Collect directly from the data subject; use indirect collection only in permitted cases.</t>
  </si>
  <si>
    <t>Is data collected directly, with indirect sourcing limited to lawful exceptions?</t>
  </si>
  <si>
    <t>Collection procedures; source mapping</t>
  </si>
  <si>
    <t>CL-02</t>
  </si>
  <si>
    <t>Art. 11(1)</t>
  </si>
  <si>
    <t>Ensure collection purposes are linked to the controller's purposes and lawful.</t>
  </si>
  <si>
    <t>Are stated purposes legitimate and not contrary to law?</t>
  </si>
  <si>
    <t>Purpose register</t>
  </si>
  <si>
    <t>CL-03</t>
  </si>
  <si>
    <t>Art. 11(3)</t>
  </si>
  <si>
    <t>Limit collection to the minimum data necessary (data minimisation).</t>
  </si>
  <si>
    <t>Is collected data limited to what is necessary, and reduced once the purpose is met?</t>
  </si>
  <si>
    <t>Data inventory; minimisation review</t>
  </si>
  <si>
    <t>CL-04</t>
  </si>
  <si>
    <t>Art. 11(2)</t>
  </si>
  <si>
    <t>Use clear, secure, fair collection methods free of deception.</t>
  </si>
  <si>
    <t>Are collection methods direct, secure and non-misleading?</t>
  </si>
  <si>
    <t>Forms / capture review</t>
  </si>
  <si>
    <t>CL-05</t>
  </si>
  <si>
    <t>Art. 14</t>
  </si>
  <si>
    <t>Verify accuracy, completeness, timeliness and relevance before processing.</t>
  </si>
  <si>
    <t>Are data quality checks performed before processing?</t>
  </si>
  <si>
    <t>Data quality procedure</t>
  </si>
  <si>
    <t>T-01</t>
  </si>
  <si>
    <t>Transparency &amp; Notice</t>
  </si>
  <si>
    <t>Art. 12</t>
  </si>
  <si>
    <t>Publish a privacy policy and make it available before collection.</t>
  </si>
  <si>
    <t>Is a privacy policy available to data subjects prior to collection?</t>
  </si>
  <si>
    <t>Published privacy policy</t>
  </si>
  <si>
    <t>T-02</t>
  </si>
  <si>
    <t>Art. 13</t>
  </si>
  <si>
    <t>Provide a collection notice with all mandated elements.</t>
  </si>
  <si>
    <t>Does the notice cover legal basis, purpose, mandatory/optional fields, recipients, transfers abroad, risks and rights?</t>
  </si>
  <si>
    <t>Notice text vs Art. 13 checklist</t>
  </si>
  <si>
    <t>R-01</t>
  </si>
  <si>
    <t>Data Subject Rights</t>
  </si>
  <si>
    <t>Art. 4(1)</t>
  </si>
  <si>
    <t>Enable the right to be informed of legal basis and purpose.</t>
  </si>
  <si>
    <t>Can the entity inform subjects of the basis and purpose of collection?</t>
  </si>
  <si>
    <t>Notice; process</t>
  </si>
  <si>
    <t>R-02</t>
  </si>
  <si>
    <t>Art. 4(2)/9</t>
  </si>
  <si>
    <t>Enable access requests, applying lawful restrictions correctly.</t>
  </si>
  <si>
    <t>Is there an access-request process that also applies Art. 9/16 restrictions?</t>
  </si>
  <si>
    <t>DSR procedure</t>
  </si>
  <si>
    <t>R-03</t>
  </si>
  <si>
    <t>Art. 4(3)</t>
  </si>
  <si>
    <t>Provide data in a readable, clear format on request (portability).</t>
  </si>
  <si>
    <t>Can subjects obtain their data in a clear, readable format?</t>
  </si>
  <si>
    <t>Data export capability</t>
  </si>
  <si>
    <t>R-04</t>
  </si>
  <si>
    <t>Art. 4(4)/17</t>
  </si>
  <si>
    <t>Handle correction/completion/update and notify downstream recipients.</t>
  </si>
  <si>
    <t>Are corrections processed and propagated to entities that received the data?</t>
  </si>
  <si>
    <t>Correction procedure; recipient log</t>
  </si>
  <si>
    <t>R-05</t>
  </si>
  <si>
    <t>Art. 4(5)/18</t>
  </si>
  <si>
    <t>Handle destruction requests subject to retention rules.</t>
  </si>
  <si>
    <t>Can subjects request destruction, with lawful retention exceptions applied?</t>
  </si>
  <si>
    <t>Destruction request procedure</t>
  </si>
  <si>
    <t>R-06</t>
  </si>
  <si>
    <t>Art. 21</t>
  </si>
  <si>
    <t>Respond to data subject requests within the Regulation timeframes.</t>
  </si>
  <si>
    <t>Are DSRs tracked and answered within required timeframes?</t>
  </si>
  <si>
    <t>DSR SLA; request log</t>
  </si>
  <si>
    <t>R-07</t>
  </si>
  <si>
    <t>Art. 34</t>
  </si>
  <si>
    <t>Handle complaints, including escalation to the Competent Authority.</t>
  </si>
  <si>
    <t>Is there a complaints process for data subjects?</t>
  </si>
  <si>
    <t>Complaints procedure</t>
  </si>
  <si>
    <t>D-01</t>
  </si>
  <si>
    <t>Disclosure Controls</t>
  </si>
  <si>
    <t>Art. 15</t>
  </si>
  <si>
    <t>Disclose personal data only in permitted cases.</t>
  </si>
  <si>
    <t>Is disclosure restricted to the lawful situations in Art. 15?</t>
  </si>
  <si>
    <t>Disclosure policy/register</t>
  </si>
  <si>
    <t>D-02</t>
  </si>
  <si>
    <t>Art. 16</t>
  </si>
  <si>
    <t>Screen for prohibited-disclosure scenarios.</t>
  </si>
  <si>
    <t>Are disclosures checked against Art. 16 prohibitions (security, others' privacy, legal capacity, etc.)?</t>
  </si>
  <si>
    <t>Disclosure assessment process</t>
  </si>
  <si>
    <t>RT-01</t>
  </si>
  <si>
    <t>Retention &amp; Destruction</t>
  </si>
  <si>
    <t>Art. 18(1)</t>
  </si>
  <si>
    <t>Destroy personal data without undue delay once the purpose ends.</t>
  </si>
  <si>
    <t>Is data destroyed promptly when no longer needed?</t>
  </si>
  <si>
    <t>Retention schedule</t>
  </si>
  <si>
    <t>RT-02</t>
  </si>
  <si>
    <t>Art. 18(2)</t>
  </si>
  <si>
    <t>Document lawful retention beyond purpose (legal / judicial).</t>
  </si>
  <si>
    <t>Are retention-beyond-purpose cases identified with a legal basis?</t>
  </si>
  <si>
    <t>Retention schedule with bases</t>
  </si>
  <si>
    <t>RT-03</t>
  </si>
  <si>
    <t>Art. 7 (def.)</t>
  </si>
  <si>
    <t>Ensure destruction renders data unreadable/irretrievable (or anonymised).</t>
  </si>
  <si>
    <t>Are destruction/anonymisation methods irreversible per SDAIA guidance?</t>
  </si>
  <si>
    <t>Destruction procedure; logs</t>
  </si>
  <si>
    <t>S-01</t>
  </si>
  <si>
    <t>Security</t>
  </si>
  <si>
    <t>Art. 19</t>
  </si>
  <si>
    <t>Implement organisational, administrative and technical safeguards.</t>
  </si>
  <si>
    <t>Are appropriate security controls implemented (mappable to NCA ECC / ISO 27001)?</t>
  </si>
  <si>
    <t>Security policy; control evidence</t>
  </si>
  <si>
    <t>S-02</t>
  </si>
  <si>
    <t>Protect personal data during transfer.</t>
  </si>
  <si>
    <t>Are data-in-transit protections (e.g. encryption) in place?</t>
  </si>
  <si>
    <t>Encryption standard; configs</t>
  </si>
  <si>
    <t>B-01</t>
  </si>
  <si>
    <t>Breach Management</t>
  </si>
  <si>
    <t>Art. 20(1)</t>
  </si>
  <si>
    <t>Notify the Competent Authority of breaches per the Regulations.</t>
  </si>
  <si>
    <t>Is there a process to detect and notify SDAIA of breaches?</t>
  </si>
  <si>
    <t>Incident response plan</t>
  </si>
  <si>
    <t>B-02</t>
  </si>
  <si>
    <t>Art. 20(2)</t>
  </si>
  <si>
    <t>Notify affected data subjects where required.</t>
  </si>
  <si>
    <t>Are affected subjects notified when a breach harms their rights/interests?</t>
  </si>
  <si>
    <t>IR plan; notification templates</t>
  </si>
  <si>
    <t>X-01</t>
  </si>
  <si>
    <t>Cross-Border Transfers</t>
  </si>
  <si>
    <t>Art. 29(1)</t>
  </si>
  <si>
    <t>Base transfers outside KSA on a permitted purpose.</t>
  </si>
  <si>
    <t>Are transfers abroad mapped to a lawful Art. 29(1) purpose?</t>
  </si>
  <si>
    <t>Transfer register</t>
  </si>
  <si>
    <t>X-02</t>
  </si>
  <si>
    <t>Art. 29(2)</t>
  </si>
  <si>
    <t>Ensure adequacy, no prejudice to national interest, and data minimisation.</t>
  </si>
  <si>
    <t>Has a transfer assessment confirmed adequate protection and minimum data?</t>
  </si>
  <si>
    <t>Transfer Impact Assessment</t>
  </si>
  <si>
    <t>X-03</t>
  </si>
  <si>
    <t>Transfer Reg.</t>
  </si>
  <si>
    <t>Use SDAIA Standard Contractual Clauses / binding common rules where needed.</t>
  </si>
  <si>
    <t>Are approved SCCs or BCRs executed for relevant transfers?</t>
  </si>
  <si>
    <t>Executed SCCs / BCRs</t>
  </si>
  <si>
    <t>P-01</t>
  </si>
  <si>
    <t>Processor / Vendor Mgmt</t>
  </si>
  <si>
    <t>Art. 8</t>
  </si>
  <si>
    <t>Select processors that provide the necessary guarantees.</t>
  </si>
  <si>
    <t>Are processors assessed for adequate safeguards before engagement?</t>
  </si>
  <si>
    <t>Vendor due diligence</t>
  </si>
  <si>
    <t>P-02</t>
  </si>
  <si>
    <t>Bind processors by contract and monitor their compliance.</t>
  </si>
  <si>
    <t>Are processors under a data processing agreement and actively monitored?</t>
  </si>
  <si>
    <t>DPAs; monitoring records</t>
  </si>
  <si>
    <t>P-03</t>
  </si>
  <si>
    <t>Govern subsequent (sub-processor) contracts.</t>
  </si>
  <si>
    <t>Are sub-processing arrangements controlled and flowed down?</t>
  </si>
  <si>
    <t>Sub-processor terms</t>
  </si>
  <si>
    <t>SP-01</t>
  </si>
  <si>
    <t>Special Categories</t>
  </si>
  <si>
    <t>Art. 23</t>
  </si>
  <si>
    <t>Apply additional Health Data controls and access minimisation.</t>
  </si>
  <si>
    <t>Is access to Health Data limited to the minimum necessary staff?</t>
  </si>
  <si>
    <t>Health data access controls</t>
  </si>
  <si>
    <t>SP-02</t>
  </si>
  <si>
    <t>Art. 24</t>
  </si>
  <si>
    <t>Apply additional Credit Data controls per the Credit Information Law.</t>
  </si>
  <si>
    <t>Is explicit consent obtained and the subject notified of disclosure requests?</t>
  </si>
  <si>
    <t>Credit data procedures</t>
  </si>
  <si>
    <t>SP-03</t>
  </si>
  <si>
    <t>Art. 27</t>
  </si>
  <si>
    <t>Control research/statistical processing without consent.</t>
  </si>
  <si>
    <t>Is non-consent research processing de-identified per the rules?</t>
  </si>
  <si>
    <t>Research procedure</t>
  </si>
  <si>
    <t>SP-04</t>
  </si>
  <si>
    <t>Art. 28</t>
  </si>
  <si>
    <t>Restrict copying of identifiable official documents.</t>
  </si>
  <si>
    <t>Is copying official documents limited to lawful cases?</t>
  </si>
  <si>
    <t>Document handling policy</t>
  </si>
  <si>
    <t>M-01</t>
  </si>
  <si>
    <t>Marketing</t>
  </si>
  <si>
    <t>Art. 25</t>
  </si>
  <si>
    <t>Obtain prior consent and provide an opt-out for marketing/awareness messages.</t>
  </si>
  <si>
    <t>Is prior consent captured and a clear opt-out mechanism provided?</t>
  </si>
  <si>
    <t>Consent records; opt-out flow</t>
  </si>
  <si>
    <t>M-02</t>
  </si>
  <si>
    <t>Art. 26</t>
  </si>
  <si>
    <t>Process marketing data only if collected directly with consent (excluding Sensitive Data).</t>
  </si>
  <si>
    <t>Is marketing data collected directly with consent and free of Sensitive Data?</t>
  </si>
  <si>
    <t>Marketing data procedure</t>
  </si>
  <si>
    <t>PDPL Compliance Dashboard</t>
  </si>
  <si>
    <t>Overall maturity</t>
  </si>
  <si>
    <t>Controls assessed</t>
  </si>
  <si>
    <t>Controls compliant</t>
  </si>
  <si>
    <t>Overall compliance</t>
  </si>
  <si>
    <t>Avg Maturity</t>
  </si>
  <si>
    <t>Compliant</t>
  </si>
  <si>
    <t>Gaps</t>
  </si>
  <si>
    <t>Compliance %</t>
  </si>
  <si>
    <t>PDPL Remediation Plan (client-facing action log)</t>
  </si>
  <si>
    <t>Gap / Finding</t>
  </si>
  <si>
    <t>Risk</t>
  </si>
  <si>
    <t>Status</t>
  </si>
  <si>
    <t>Populate from the Assessment tab: list each control scored below 3, copy its gap, action, risk and priority here, then track Status to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</si>
</sst>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2E5496"/>
      <name val="Arial"/>
      <charset val="1"/>
    </font>
    <font>
      <sz val="10"/>
      <color rgb="FF262626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262626"/>
      <name val="Arial"/>
      <charset val="1"/>
    </font>
    <font>
      <sz val="9"/>
      <color rgb="FF0000FF"/>
      <name val="Arial"/>
      <charset val="1"/>
    </font>
    <font>
      <b/>
      <sz val="9"/>
      <color rgb="FF262626"/>
      <name val="Arial"/>
      <charset val="1"/>
    </font>
    <font>
      <b/>
      <sz val="11"/>
      <color rgb="FF1F3864"/>
      <name val="Arial"/>
      <charset val="1"/>
    </font>
    <font>
      <b/>
      <sz val="11"/>
      <color rgb="FF2E549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5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6" fillId="4" borderId="0" xfId="0" applyFont="1" applyFill="1" applyAlignment="1">
      <alignment horizontal="left" vertical="center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 inden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 indent="1"/>
    </xf>
    <xf numFmtId="0" fontId="7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vertical="top" wrapText="1" indent="1"/>
    </xf>
    <xf numFmtId="0" fontId="8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/>
    </xf>
    <xf numFmtId="0" fontId="11" fillId="0" borderId="0" xfId="0" applyFont="1"/>
    <xf numFmtId="0" fontId="12" fillId="0" borderId="0" xfId="0" applyFont="1"/>
    <xf numFmtId="164" fontId="12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26" customWidth="1"/>
    <col min="3" max="3" width="95" customWidth="1"/>
  </cols>
  <sheetData>
    <row r="1" spans="2:3" ht="23" x14ac:dyDescent="0.5">
      <c r="B1" s="5" t="s">
        <v>0</v>
      </c>
      <c r="C1" s="5"/>
    </row>
    <row r="2" spans="2:3" x14ac:dyDescent="0.35">
      <c r="B2" s="4" t="s">
        <v>1</v>
      </c>
      <c r="C2" s="4"/>
    </row>
    <row r="4" spans="2:3" ht="15.5" x14ac:dyDescent="0.35">
      <c r="B4" s="6" t="s">
        <v>2</v>
      </c>
    </row>
    <row r="5" spans="2:3" ht="30" customHeight="1" x14ac:dyDescent="0.35">
      <c r="B5" s="3" t="s">
        <v>3</v>
      </c>
      <c r="C5" s="3"/>
    </row>
    <row r="7" spans="2:3" ht="15.5" x14ac:dyDescent="0.35">
      <c r="B7" s="6" t="s">
        <v>4</v>
      </c>
    </row>
    <row r="8" spans="2:3" ht="30" customHeight="1" x14ac:dyDescent="0.35">
      <c r="B8" s="3" t="s">
        <v>5</v>
      </c>
      <c r="C8" s="3"/>
    </row>
    <row r="9" spans="2:3" ht="30" customHeight="1" x14ac:dyDescent="0.35">
      <c r="B9" s="3" t="s">
        <v>6</v>
      </c>
      <c r="C9" s="3"/>
    </row>
    <row r="10" spans="2:3" ht="30" customHeight="1" x14ac:dyDescent="0.35">
      <c r="B10" s="3" t="s">
        <v>7</v>
      </c>
      <c r="C10" s="3"/>
    </row>
    <row r="11" spans="2:3" ht="15" customHeight="1" x14ac:dyDescent="0.35">
      <c r="B11" s="3" t="s">
        <v>8</v>
      </c>
      <c r="C11" s="3"/>
    </row>
    <row r="12" spans="2:3" ht="15" customHeight="1" x14ac:dyDescent="0.35">
      <c r="B12" s="3" t="s">
        <v>9</v>
      </c>
      <c r="C12" s="3"/>
    </row>
    <row r="14" spans="2:3" ht="15.5" x14ac:dyDescent="0.35">
      <c r="B14" s="6" t="s">
        <v>10</v>
      </c>
    </row>
    <row r="15" spans="2:3" ht="15" customHeight="1" x14ac:dyDescent="0.35">
      <c r="B15" s="3" t="s">
        <v>11</v>
      </c>
      <c r="C15" s="3"/>
    </row>
    <row r="16" spans="2:3" ht="15" customHeight="1" x14ac:dyDescent="0.35">
      <c r="B16" s="3" t="s">
        <v>12</v>
      </c>
      <c r="C16" s="3"/>
    </row>
    <row r="17" spans="2:3" ht="15" customHeight="1" x14ac:dyDescent="0.35">
      <c r="B17" s="3" t="s">
        <v>13</v>
      </c>
      <c r="C17" s="3"/>
    </row>
    <row r="18" spans="2:3" ht="15" customHeight="1" x14ac:dyDescent="0.35">
      <c r="B18" s="3" t="s">
        <v>14</v>
      </c>
      <c r="C18" s="3"/>
    </row>
    <row r="19" spans="2:3" ht="15" customHeight="1" x14ac:dyDescent="0.35">
      <c r="B19" s="3" t="s">
        <v>15</v>
      </c>
      <c r="C19" s="3"/>
    </row>
    <row r="20" spans="2:3" ht="15" customHeight="1" x14ac:dyDescent="0.35">
      <c r="B20" s="3" t="s">
        <v>16</v>
      </c>
      <c r="C20" s="3"/>
    </row>
    <row r="21" spans="2:3" ht="30" customHeight="1" x14ac:dyDescent="0.35">
      <c r="B21" s="3" t="s">
        <v>17</v>
      </c>
      <c r="C21" s="3"/>
    </row>
    <row r="23" spans="2:3" ht="15.5" x14ac:dyDescent="0.35">
      <c r="B23" s="6" t="s">
        <v>18</v>
      </c>
    </row>
    <row r="24" spans="2:3" ht="30" customHeight="1" x14ac:dyDescent="0.35">
      <c r="B24" s="3" t="s">
        <v>19</v>
      </c>
      <c r="C24" s="3"/>
    </row>
  </sheetData>
  <mergeCells count="16">
    <mergeCell ref="B24:C24"/>
    <mergeCell ref="B17:C17"/>
    <mergeCell ref="B18:C18"/>
    <mergeCell ref="B19:C19"/>
    <mergeCell ref="B20:C20"/>
    <mergeCell ref="B21:C21"/>
    <mergeCell ref="B10:C10"/>
    <mergeCell ref="B11:C11"/>
    <mergeCell ref="B12:C12"/>
    <mergeCell ref="B15:C15"/>
    <mergeCell ref="B16:C16"/>
    <mergeCell ref="B1:C1"/>
    <mergeCell ref="B2:C2"/>
    <mergeCell ref="B5:C5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showGridLines="0" zoomScaleNormal="100" workbookViewId="0">
      <pane ySplit="2" topLeftCell="A28" activePane="bottomLeft" state="frozen"/>
      <selection pane="bottomLeft" sqref="A1:N1"/>
    </sheetView>
  </sheetViews>
  <sheetFormatPr defaultColWidth="8.6328125" defaultRowHeight="14.5" x14ac:dyDescent="0.35"/>
  <cols>
    <col min="1" max="1" width="11" customWidth="1"/>
    <col min="2" max="2" width="24" customWidth="1"/>
    <col min="3" max="3" width="13" customWidth="1"/>
    <col min="4" max="5" width="40" customWidth="1"/>
    <col min="6" max="6" width="30" customWidth="1"/>
    <col min="7" max="7" width="12" customWidth="1"/>
    <col min="8" max="8" width="16" customWidth="1"/>
    <col min="9" max="9" width="34" customWidth="1"/>
    <col min="10" max="10" width="12" customWidth="1"/>
    <col min="11" max="11" width="38" customWidth="1"/>
    <col min="12" max="12" width="10" customWidth="1"/>
    <col min="13" max="13" width="16" customWidth="1"/>
    <col min="14" max="14" width="13" customWidth="1"/>
  </cols>
  <sheetData>
    <row r="1" spans="1:14" ht="25.5" customHeight="1" x14ac:dyDescent="0.3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0" customHeight="1" x14ac:dyDescent="0.35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</row>
    <row r="3" spans="1:14" ht="45.75" customHeight="1" x14ac:dyDescent="0.35">
      <c r="A3" s="8" t="s">
        <v>35</v>
      </c>
      <c r="B3" s="9" t="s">
        <v>36</v>
      </c>
      <c r="C3" s="10" t="s">
        <v>37</v>
      </c>
      <c r="D3" s="9" t="s">
        <v>38</v>
      </c>
      <c r="E3" s="9" t="s">
        <v>39</v>
      </c>
      <c r="F3" s="9" t="s">
        <v>40</v>
      </c>
      <c r="G3" s="11"/>
      <c r="H3" s="12" t="str">
        <f t="shared" ref="H3:H49" si="0">IF(G3="","Not Assessed",IF(G3&gt;=3,"Compliant",IF(G3&gt;=1,"Partial","Non-Compliant")))</f>
        <v>Not Assessed</v>
      </c>
      <c r="I3" s="13"/>
      <c r="J3" s="10"/>
      <c r="K3" s="13"/>
      <c r="L3" s="10"/>
      <c r="M3" s="13"/>
      <c r="N3" s="11"/>
    </row>
    <row r="4" spans="1:14" ht="45.75" customHeight="1" x14ac:dyDescent="0.35">
      <c r="A4" s="14" t="s">
        <v>41</v>
      </c>
      <c r="B4" s="15" t="s">
        <v>36</v>
      </c>
      <c r="C4" s="16" t="s">
        <v>42</v>
      </c>
      <c r="D4" s="15" t="s">
        <v>43</v>
      </c>
      <c r="E4" s="15" t="s">
        <v>44</v>
      </c>
      <c r="F4" s="15" t="s">
        <v>45</v>
      </c>
      <c r="G4" s="11"/>
      <c r="H4" s="17" t="str">
        <f t="shared" si="0"/>
        <v>Not Assessed</v>
      </c>
      <c r="I4" s="13"/>
      <c r="J4" s="16"/>
      <c r="K4" s="13"/>
      <c r="L4" s="16"/>
      <c r="M4" s="13"/>
      <c r="N4" s="11"/>
    </row>
    <row r="5" spans="1:14" ht="45.75" customHeight="1" x14ac:dyDescent="0.35">
      <c r="A5" s="8" t="s">
        <v>46</v>
      </c>
      <c r="B5" s="9" t="s">
        <v>36</v>
      </c>
      <c r="C5" s="10" t="s">
        <v>47</v>
      </c>
      <c r="D5" s="9" t="s">
        <v>48</v>
      </c>
      <c r="E5" s="9" t="s">
        <v>49</v>
      </c>
      <c r="F5" s="9" t="s">
        <v>50</v>
      </c>
      <c r="G5" s="11"/>
      <c r="H5" s="12" t="str">
        <f t="shared" si="0"/>
        <v>Not Assessed</v>
      </c>
      <c r="I5" s="13"/>
      <c r="J5" s="10"/>
      <c r="K5" s="13"/>
      <c r="L5" s="10"/>
      <c r="M5" s="13"/>
      <c r="N5" s="11"/>
    </row>
    <row r="6" spans="1:14" ht="45.75" customHeight="1" x14ac:dyDescent="0.35">
      <c r="A6" s="14" t="s">
        <v>51</v>
      </c>
      <c r="B6" s="15" t="s">
        <v>36</v>
      </c>
      <c r="C6" s="16" t="s">
        <v>52</v>
      </c>
      <c r="D6" s="15" t="s">
        <v>53</v>
      </c>
      <c r="E6" s="15" t="s">
        <v>54</v>
      </c>
      <c r="F6" s="15" t="s">
        <v>55</v>
      </c>
      <c r="G6" s="11"/>
      <c r="H6" s="17" t="str">
        <f t="shared" si="0"/>
        <v>Not Assessed</v>
      </c>
      <c r="I6" s="13"/>
      <c r="J6" s="16"/>
      <c r="K6" s="13"/>
      <c r="L6" s="16"/>
      <c r="M6" s="13"/>
      <c r="N6" s="11"/>
    </row>
    <row r="7" spans="1:14" ht="45.75" customHeight="1" x14ac:dyDescent="0.35">
      <c r="A7" s="8" t="s">
        <v>56</v>
      </c>
      <c r="B7" s="9" t="s">
        <v>36</v>
      </c>
      <c r="C7" s="10" t="s">
        <v>57</v>
      </c>
      <c r="D7" s="9" t="s">
        <v>58</v>
      </c>
      <c r="E7" s="9" t="s">
        <v>59</v>
      </c>
      <c r="F7" s="9" t="s">
        <v>60</v>
      </c>
      <c r="G7" s="11"/>
      <c r="H7" s="12" t="str">
        <f t="shared" si="0"/>
        <v>Not Assessed</v>
      </c>
      <c r="I7" s="13"/>
      <c r="J7" s="10"/>
      <c r="K7" s="13"/>
      <c r="L7" s="10"/>
      <c r="M7" s="13"/>
      <c r="N7" s="11"/>
    </row>
    <row r="8" spans="1:14" ht="45.75" customHeight="1" x14ac:dyDescent="0.35">
      <c r="A8" s="14" t="s">
        <v>61</v>
      </c>
      <c r="B8" s="15" t="s">
        <v>36</v>
      </c>
      <c r="C8" s="16" t="s">
        <v>62</v>
      </c>
      <c r="D8" s="15" t="s">
        <v>63</v>
      </c>
      <c r="E8" s="15" t="s">
        <v>64</v>
      </c>
      <c r="F8" s="15" t="s">
        <v>65</v>
      </c>
      <c r="G8" s="11"/>
      <c r="H8" s="17" t="str">
        <f t="shared" si="0"/>
        <v>Not Assessed</v>
      </c>
      <c r="I8" s="13"/>
      <c r="J8" s="16"/>
      <c r="K8" s="13"/>
      <c r="L8" s="16"/>
      <c r="M8" s="13"/>
      <c r="N8" s="11"/>
    </row>
    <row r="9" spans="1:14" ht="45.75" customHeight="1" x14ac:dyDescent="0.35">
      <c r="A9" s="8" t="s">
        <v>66</v>
      </c>
      <c r="B9" s="9" t="s">
        <v>36</v>
      </c>
      <c r="C9" s="10" t="s">
        <v>67</v>
      </c>
      <c r="D9" s="9" t="s">
        <v>68</v>
      </c>
      <c r="E9" s="9" t="s">
        <v>69</v>
      </c>
      <c r="F9" s="9" t="s">
        <v>70</v>
      </c>
      <c r="G9" s="11"/>
      <c r="H9" s="12" t="str">
        <f t="shared" si="0"/>
        <v>Not Assessed</v>
      </c>
      <c r="I9" s="13"/>
      <c r="J9" s="10"/>
      <c r="K9" s="13"/>
      <c r="L9" s="10"/>
      <c r="M9" s="13"/>
      <c r="N9" s="11"/>
    </row>
    <row r="10" spans="1:14" ht="45.75" customHeight="1" x14ac:dyDescent="0.35">
      <c r="A10" s="14" t="s">
        <v>71</v>
      </c>
      <c r="B10" s="15" t="s">
        <v>72</v>
      </c>
      <c r="C10" s="16" t="s">
        <v>73</v>
      </c>
      <c r="D10" s="15" t="s">
        <v>74</v>
      </c>
      <c r="E10" s="15" t="s">
        <v>75</v>
      </c>
      <c r="F10" s="15" t="s">
        <v>76</v>
      </c>
      <c r="G10" s="11"/>
      <c r="H10" s="17" t="str">
        <f t="shared" si="0"/>
        <v>Not Assessed</v>
      </c>
      <c r="I10" s="13"/>
      <c r="J10" s="16"/>
      <c r="K10" s="13"/>
      <c r="L10" s="16"/>
      <c r="M10" s="13"/>
      <c r="N10" s="11"/>
    </row>
    <row r="11" spans="1:14" ht="45.75" customHeight="1" x14ac:dyDescent="0.35">
      <c r="A11" s="8" t="s">
        <v>77</v>
      </c>
      <c r="B11" s="9" t="s">
        <v>72</v>
      </c>
      <c r="C11" s="10" t="s">
        <v>73</v>
      </c>
      <c r="D11" s="9" t="s">
        <v>78</v>
      </c>
      <c r="E11" s="9" t="s">
        <v>79</v>
      </c>
      <c r="F11" s="9" t="s">
        <v>80</v>
      </c>
      <c r="G11" s="11"/>
      <c r="H11" s="12" t="str">
        <f t="shared" si="0"/>
        <v>Not Assessed</v>
      </c>
      <c r="I11" s="13"/>
      <c r="J11" s="10"/>
      <c r="K11" s="13"/>
      <c r="L11" s="10"/>
      <c r="M11" s="13"/>
      <c r="N11" s="11"/>
    </row>
    <row r="12" spans="1:14" ht="45.75" customHeight="1" x14ac:dyDescent="0.35">
      <c r="A12" s="14" t="s">
        <v>81</v>
      </c>
      <c r="B12" s="15" t="s">
        <v>72</v>
      </c>
      <c r="C12" s="16" t="s">
        <v>82</v>
      </c>
      <c r="D12" s="15" t="s">
        <v>83</v>
      </c>
      <c r="E12" s="15" t="s">
        <v>84</v>
      </c>
      <c r="F12" s="15" t="s">
        <v>85</v>
      </c>
      <c r="G12" s="11"/>
      <c r="H12" s="17" t="str">
        <f t="shared" si="0"/>
        <v>Not Assessed</v>
      </c>
      <c r="I12" s="13"/>
      <c r="J12" s="16"/>
      <c r="K12" s="13"/>
      <c r="L12" s="16"/>
      <c r="M12" s="13"/>
      <c r="N12" s="11"/>
    </row>
    <row r="13" spans="1:14" ht="45.75" customHeight="1" x14ac:dyDescent="0.35">
      <c r="A13" s="8" t="s">
        <v>86</v>
      </c>
      <c r="B13" s="9" t="s">
        <v>72</v>
      </c>
      <c r="C13" s="10" t="s">
        <v>87</v>
      </c>
      <c r="D13" s="9" t="s">
        <v>88</v>
      </c>
      <c r="E13" s="9" t="s">
        <v>89</v>
      </c>
      <c r="F13" s="9" t="s">
        <v>90</v>
      </c>
      <c r="G13" s="11"/>
      <c r="H13" s="12" t="str">
        <f t="shared" si="0"/>
        <v>Not Assessed</v>
      </c>
      <c r="I13" s="13"/>
      <c r="J13" s="10"/>
      <c r="K13" s="13"/>
      <c r="L13" s="10"/>
      <c r="M13" s="13"/>
      <c r="N13" s="11"/>
    </row>
    <row r="14" spans="1:14" ht="45.75" customHeight="1" x14ac:dyDescent="0.35">
      <c r="A14" s="14" t="s">
        <v>91</v>
      </c>
      <c r="B14" s="15" t="s">
        <v>72</v>
      </c>
      <c r="C14" s="16" t="s">
        <v>92</v>
      </c>
      <c r="D14" s="15" t="s">
        <v>93</v>
      </c>
      <c r="E14" s="15" t="s">
        <v>94</v>
      </c>
      <c r="F14" s="15" t="s">
        <v>95</v>
      </c>
      <c r="G14" s="11"/>
      <c r="H14" s="17" t="str">
        <f t="shared" si="0"/>
        <v>Not Assessed</v>
      </c>
      <c r="I14" s="13"/>
      <c r="J14" s="16"/>
      <c r="K14" s="13"/>
      <c r="L14" s="16"/>
      <c r="M14" s="13"/>
      <c r="N14" s="11"/>
    </row>
    <row r="15" spans="1:14" ht="45.75" customHeight="1" x14ac:dyDescent="0.35">
      <c r="A15" s="8" t="s">
        <v>96</v>
      </c>
      <c r="B15" s="9" t="s">
        <v>97</v>
      </c>
      <c r="C15" s="10" t="s">
        <v>98</v>
      </c>
      <c r="D15" s="9" t="s">
        <v>99</v>
      </c>
      <c r="E15" s="9" t="s">
        <v>100</v>
      </c>
      <c r="F15" s="9" t="s">
        <v>101</v>
      </c>
      <c r="G15" s="11"/>
      <c r="H15" s="12" t="str">
        <f t="shared" si="0"/>
        <v>Not Assessed</v>
      </c>
      <c r="I15" s="13"/>
      <c r="J15" s="10"/>
      <c r="K15" s="13"/>
      <c r="L15" s="10"/>
      <c r="M15" s="13"/>
      <c r="N15" s="11"/>
    </row>
    <row r="16" spans="1:14" ht="45.75" customHeight="1" x14ac:dyDescent="0.35">
      <c r="A16" s="14" t="s">
        <v>102</v>
      </c>
      <c r="B16" s="15" t="s">
        <v>97</v>
      </c>
      <c r="C16" s="16" t="s">
        <v>103</v>
      </c>
      <c r="D16" s="15" t="s">
        <v>104</v>
      </c>
      <c r="E16" s="15" t="s">
        <v>105</v>
      </c>
      <c r="F16" s="15" t="s">
        <v>106</v>
      </c>
      <c r="G16" s="11"/>
      <c r="H16" s="17" t="str">
        <f t="shared" si="0"/>
        <v>Not Assessed</v>
      </c>
      <c r="I16" s="13"/>
      <c r="J16" s="16"/>
      <c r="K16" s="13"/>
      <c r="L16" s="16"/>
      <c r="M16" s="13"/>
      <c r="N16" s="11"/>
    </row>
    <row r="17" spans="1:14" ht="45.75" customHeight="1" x14ac:dyDescent="0.35">
      <c r="A17" s="8" t="s">
        <v>107</v>
      </c>
      <c r="B17" s="9" t="s">
        <v>97</v>
      </c>
      <c r="C17" s="10" t="s">
        <v>108</v>
      </c>
      <c r="D17" s="9" t="s">
        <v>109</v>
      </c>
      <c r="E17" s="9" t="s">
        <v>110</v>
      </c>
      <c r="F17" s="9" t="s">
        <v>111</v>
      </c>
      <c r="G17" s="11"/>
      <c r="H17" s="12" t="str">
        <f t="shared" si="0"/>
        <v>Not Assessed</v>
      </c>
      <c r="I17" s="13"/>
      <c r="J17" s="10"/>
      <c r="K17" s="13"/>
      <c r="L17" s="10"/>
      <c r="M17" s="13"/>
      <c r="N17" s="11"/>
    </row>
    <row r="18" spans="1:14" ht="45.75" customHeight="1" x14ac:dyDescent="0.35">
      <c r="A18" s="14" t="s">
        <v>112</v>
      </c>
      <c r="B18" s="15" t="s">
        <v>97</v>
      </c>
      <c r="C18" s="16" t="s">
        <v>113</v>
      </c>
      <c r="D18" s="15" t="s">
        <v>114</v>
      </c>
      <c r="E18" s="15" t="s">
        <v>115</v>
      </c>
      <c r="F18" s="15" t="s">
        <v>116</v>
      </c>
      <c r="G18" s="11"/>
      <c r="H18" s="17" t="str">
        <f t="shared" si="0"/>
        <v>Not Assessed</v>
      </c>
      <c r="I18" s="13"/>
      <c r="J18" s="16"/>
      <c r="K18" s="13"/>
      <c r="L18" s="16"/>
      <c r="M18" s="13"/>
      <c r="N18" s="11"/>
    </row>
    <row r="19" spans="1:14" ht="45.75" customHeight="1" x14ac:dyDescent="0.35">
      <c r="A19" s="8" t="s">
        <v>117</v>
      </c>
      <c r="B19" s="9" t="s">
        <v>97</v>
      </c>
      <c r="C19" s="10" t="s">
        <v>118</v>
      </c>
      <c r="D19" s="9" t="s">
        <v>119</v>
      </c>
      <c r="E19" s="9" t="s">
        <v>120</v>
      </c>
      <c r="F19" s="9" t="s">
        <v>121</v>
      </c>
      <c r="G19" s="11"/>
      <c r="H19" s="12" t="str">
        <f t="shared" si="0"/>
        <v>Not Assessed</v>
      </c>
      <c r="I19" s="13"/>
      <c r="J19" s="10"/>
      <c r="K19" s="13"/>
      <c r="L19" s="10"/>
      <c r="M19" s="13"/>
      <c r="N19" s="11"/>
    </row>
    <row r="20" spans="1:14" ht="45.75" customHeight="1" x14ac:dyDescent="0.35">
      <c r="A20" s="14" t="s">
        <v>122</v>
      </c>
      <c r="B20" s="15" t="s">
        <v>123</v>
      </c>
      <c r="C20" s="16" t="s">
        <v>124</v>
      </c>
      <c r="D20" s="15" t="s">
        <v>125</v>
      </c>
      <c r="E20" s="15" t="s">
        <v>126</v>
      </c>
      <c r="F20" s="15" t="s">
        <v>127</v>
      </c>
      <c r="G20" s="11"/>
      <c r="H20" s="17" t="str">
        <f t="shared" si="0"/>
        <v>Not Assessed</v>
      </c>
      <c r="I20" s="13"/>
      <c r="J20" s="16"/>
      <c r="K20" s="13"/>
      <c r="L20" s="16"/>
      <c r="M20" s="13"/>
      <c r="N20" s="11"/>
    </row>
    <row r="21" spans="1:14" ht="45.75" customHeight="1" x14ac:dyDescent="0.35">
      <c r="A21" s="8" t="s">
        <v>128</v>
      </c>
      <c r="B21" s="9" t="s">
        <v>123</v>
      </c>
      <c r="C21" s="10" t="s">
        <v>129</v>
      </c>
      <c r="D21" s="9" t="s">
        <v>130</v>
      </c>
      <c r="E21" s="9" t="s">
        <v>131</v>
      </c>
      <c r="F21" s="9" t="s">
        <v>132</v>
      </c>
      <c r="G21" s="11"/>
      <c r="H21" s="12" t="str">
        <f t="shared" si="0"/>
        <v>Not Assessed</v>
      </c>
      <c r="I21" s="13"/>
      <c r="J21" s="10"/>
      <c r="K21" s="13"/>
      <c r="L21" s="10"/>
      <c r="M21" s="13"/>
      <c r="N21" s="11"/>
    </row>
    <row r="22" spans="1:14" ht="45.75" customHeight="1" x14ac:dyDescent="0.35">
      <c r="A22" s="14" t="s">
        <v>133</v>
      </c>
      <c r="B22" s="15" t="s">
        <v>134</v>
      </c>
      <c r="C22" s="16" t="s">
        <v>135</v>
      </c>
      <c r="D22" s="15" t="s">
        <v>136</v>
      </c>
      <c r="E22" s="15" t="s">
        <v>137</v>
      </c>
      <c r="F22" s="15" t="s">
        <v>138</v>
      </c>
      <c r="G22" s="11"/>
      <c r="H22" s="17" t="str">
        <f t="shared" si="0"/>
        <v>Not Assessed</v>
      </c>
      <c r="I22" s="13"/>
      <c r="J22" s="16"/>
      <c r="K22" s="13"/>
      <c r="L22" s="16"/>
      <c r="M22" s="13"/>
      <c r="N22" s="11"/>
    </row>
    <row r="23" spans="1:14" ht="45.75" customHeight="1" x14ac:dyDescent="0.35">
      <c r="A23" s="8" t="s">
        <v>139</v>
      </c>
      <c r="B23" s="9" t="s">
        <v>134</v>
      </c>
      <c r="C23" s="10" t="s">
        <v>140</v>
      </c>
      <c r="D23" s="9" t="s">
        <v>141</v>
      </c>
      <c r="E23" s="9" t="s">
        <v>142</v>
      </c>
      <c r="F23" s="9" t="s">
        <v>143</v>
      </c>
      <c r="G23" s="11"/>
      <c r="H23" s="12" t="str">
        <f t="shared" si="0"/>
        <v>Not Assessed</v>
      </c>
      <c r="I23" s="13"/>
      <c r="J23" s="10"/>
      <c r="K23" s="13"/>
      <c r="L23" s="10"/>
      <c r="M23" s="13"/>
      <c r="N23" s="11"/>
    </row>
    <row r="24" spans="1:14" ht="45.75" customHeight="1" x14ac:dyDescent="0.35">
      <c r="A24" s="14" t="s">
        <v>144</v>
      </c>
      <c r="B24" s="15" t="s">
        <v>134</v>
      </c>
      <c r="C24" s="16" t="s">
        <v>145</v>
      </c>
      <c r="D24" s="15" t="s">
        <v>146</v>
      </c>
      <c r="E24" s="15" t="s">
        <v>147</v>
      </c>
      <c r="F24" s="15" t="s">
        <v>148</v>
      </c>
      <c r="G24" s="11"/>
      <c r="H24" s="17" t="str">
        <f t="shared" si="0"/>
        <v>Not Assessed</v>
      </c>
      <c r="I24" s="13"/>
      <c r="J24" s="16"/>
      <c r="K24" s="13"/>
      <c r="L24" s="16"/>
      <c r="M24" s="13"/>
      <c r="N24" s="11"/>
    </row>
    <row r="25" spans="1:14" ht="45.75" customHeight="1" x14ac:dyDescent="0.35">
      <c r="A25" s="8" t="s">
        <v>149</v>
      </c>
      <c r="B25" s="9" t="s">
        <v>134</v>
      </c>
      <c r="C25" s="10" t="s">
        <v>150</v>
      </c>
      <c r="D25" s="9" t="s">
        <v>151</v>
      </c>
      <c r="E25" s="9" t="s">
        <v>152</v>
      </c>
      <c r="F25" s="9" t="s">
        <v>153</v>
      </c>
      <c r="G25" s="11"/>
      <c r="H25" s="12" t="str">
        <f t="shared" si="0"/>
        <v>Not Assessed</v>
      </c>
      <c r="I25" s="13"/>
      <c r="J25" s="10"/>
      <c r="K25" s="13"/>
      <c r="L25" s="10"/>
      <c r="M25" s="13"/>
      <c r="N25" s="11"/>
    </row>
    <row r="26" spans="1:14" ht="45.75" customHeight="1" x14ac:dyDescent="0.35">
      <c r="A26" s="14" t="s">
        <v>154</v>
      </c>
      <c r="B26" s="15" t="s">
        <v>134</v>
      </c>
      <c r="C26" s="16" t="s">
        <v>155</v>
      </c>
      <c r="D26" s="15" t="s">
        <v>156</v>
      </c>
      <c r="E26" s="15" t="s">
        <v>157</v>
      </c>
      <c r="F26" s="15" t="s">
        <v>158</v>
      </c>
      <c r="G26" s="11"/>
      <c r="H26" s="17" t="str">
        <f t="shared" si="0"/>
        <v>Not Assessed</v>
      </c>
      <c r="I26" s="13"/>
      <c r="J26" s="16"/>
      <c r="K26" s="13"/>
      <c r="L26" s="16"/>
      <c r="M26" s="13"/>
      <c r="N26" s="11"/>
    </row>
    <row r="27" spans="1:14" ht="45.75" customHeight="1" x14ac:dyDescent="0.35">
      <c r="A27" s="8" t="s">
        <v>159</v>
      </c>
      <c r="B27" s="9" t="s">
        <v>134</v>
      </c>
      <c r="C27" s="10" t="s">
        <v>160</v>
      </c>
      <c r="D27" s="9" t="s">
        <v>161</v>
      </c>
      <c r="E27" s="9" t="s">
        <v>162</v>
      </c>
      <c r="F27" s="9" t="s">
        <v>163</v>
      </c>
      <c r="G27" s="11"/>
      <c r="H27" s="12" t="str">
        <f t="shared" si="0"/>
        <v>Not Assessed</v>
      </c>
      <c r="I27" s="13"/>
      <c r="J27" s="10"/>
      <c r="K27" s="13"/>
      <c r="L27" s="10"/>
      <c r="M27" s="13"/>
      <c r="N27" s="11"/>
    </row>
    <row r="28" spans="1:14" ht="45.75" customHeight="1" x14ac:dyDescent="0.35">
      <c r="A28" s="14" t="s">
        <v>164</v>
      </c>
      <c r="B28" s="15" t="s">
        <v>134</v>
      </c>
      <c r="C28" s="16" t="s">
        <v>165</v>
      </c>
      <c r="D28" s="15" t="s">
        <v>166</v>
      </c>
      <c r="E28" s="15" t="s">
        <v>167</v>
      </c>
      <c r="F28" s="15" t="s">
        <v>168</v>
      </c>
      <c r="G28" s="11"/>
      <c r="H28" s="17" t="str">
        <f t="shared" si="0"/>
        <v>Not Assessed</v>
      </c>
      <c r="I28" s="13"/>
      <c r="J28" s="16"/>
      <c r="K28" s="13"/>
      <c r="L28" s="16"/>
      <c r="M28" s="13"/>
      <c r="N28" s="11"/>
    </row>
    <row r="29" spans="1:14" ht="45.75" customHeight="1" x14ac:dyDescent="0.35">
      <c r="A29" s="8" t="s">
        <v>169</v>
      </c>
      <c r="B29" s="9" t="s">
        <v>170</v>
      </c>
      <c r="C29" s="10" t="s">
        <v>171</v>
      </c>
      <c r="D29" s="9" t="s">
        <v>172</v>
      </c>
      <c r="E29" s="9" t="s">
        <v>173</v>
      </c>
      <c r="F29" s="9" t="s">
        <v>174</v>
      </c>
      <c r="G29" s="11"/>
      <c r="H29" s="12" t="str">
        <f t="shared" si="0"/>
        <v>Not Assessed</v>
      </c>
      <c r="I29" s="13"/>
      <c r="J29" s="10"/>
      <c r="K29" s="13"/>
      <c r="L29" s="10"/>
      <c r="M29" s="13"/>
      <c r="N29" s="11"/>
    </row>
    <row r="30" spans="1:14" ht="45.75" customHeight="1" x14ac:dyDescent="0.35">
      <c r="A30" s="14" t="s">
        <v>175</v>
      </c>
      <c r="B30" s="15" t="s">
        <v>170</v>
      </c>
      <c r="C30" s="16" t="s">
        <v>176</v>
      </c>
      <c r="D30" s="15" t="s">
        <v>177</v>
      </c>
      <c r="E30" s="15" t="s">
        <v>178</v>
      </c>
      <c r="F30" s="15" t="s">
        <v>179</v>
      </c>
      <c r="G30" s="11"/>
      <c r="H30" s="17" t="str">
        <f t="shared" si="0"/>
        <v>Not Assessed</v>
      </c>
      <c r="I30" s="13"/>
      <c r="J30" s="16"/>
      <c r="K30" s="13"/>
      <c r="L30" s="16"/>
      <c r="M30" s="13"/>
      <c r="N30" s="11"/>
    </row>
    <row r="31" spans="1:14" ht="45.75" customHeight="1" x14ac:dyDescent="0.35">
      <c r="A31" s="8" t="s">
        <v>180</v>
      </c>
      <c r="B31" s="9" t="s">
        <v>181</v>
      </c>
      <c r="C31" s="10" t="s">
        <v>182</v>
      </c>
      <c r="D31" s="9" t="s">
        <v>183</v>
      </c>
      <c r="E31" s="9" t="s">
        <v>184</v>
      </c>
      <c r="F31" s="9" t="s">
        <v>185</v>
      </c>
      <c r="G31" s="11"/>
      <c r="H31" s="12" t="str">
        <f t="shared" si="0"/>
        <v>Not Assessed</v>
      </c>
      <c r="I31" s="13"/>
      <c r="J31" s="10"/>
      <c r="K31" s="13"/>
      <c r="L31" s="10"/>
      <c r="M31" s="13"/>
      <c r="N31" s="11"/>
    </row>
    <row r="32" spans="1:14" ht="45.75" customHeight="1" x14ac:dyDescent="0.35">
      <c r="A32" s="14" t="s">
        <v>186</v>
      </c>
      <c r="B32" s="15" t="s">
        <v>181</v>
      </c>
      <c r="C32" s="16" t="s">
        <v>187</v>
      </c>
      <c r="D32" s="15" t="s">
        <v>188</v>
      </c>
      <c r="E32" s="15" t="s">
        <v>189</v>
      </c>
      <c r="F32" s="15" t="s">
        <v>190</v>
      </c>
      <c r="G32" s="11"/>
      <c r="H32" s="17" t="str">
        <f t="shared" si="0"/>
        <v>Not Assessed</v>
      </c>
      <c r="I32" s="13"/>
      <c r="J32" s="16"/>
      <c r="K32" s="13"/>
      <c r="L32" s="16"/>
      <c r="M32" s="13"/>
      <c r="N32" s="11"/>
    </row>
    <row r="33" spans="1:14" ht="45.75" customHeight="1" x14ac:dyDescent="0.35">
      <c r="A33" s="8" t="s">
        <v>191</v>
      </c>
      <c r="B33" s="9" t="s">
        <v>181</v>
      </c>
      <c r="C33" s="10" t="s">
        <v>192</v>
      </c>
      <c r="D33" s="9" t="s">
        <v>193</v>
      </c>
      <c r="E33" s="9" t="s">
        <v>194</v>
      </c>
      <c r="F33" s="9" t="s">
        <v>195</v>
      </c>
      <c r="G33" s="11"/>
      <c r="H33" s="12" t="str">
        <f t="shared" si="0"/>
        <v>Not Assessed</v>
      </c>
      <c r="I33" s="13"/>
      <c r="J33" s="10"/>
      <c r="K33" s="13"/>
      <c r="L33" s="10"/>
      <c r="M33" s="13"/>
      <c r="N33" s="11"/>
    </row>
    <row r="34" spans="1:14" ht="45.75" customHeight="1" x14ac:dyDescent="0.35">
      <c r="A34" s="14" t="s">
        <v>196</v>
      </c>
      <c r="B34" s="15" t="s">
        <v>197</v>
      </c>
      <c r="C34" s="16" t="s">
        <v>198</v>
      </c>
      <c r="D34" s="15" t="s">
        <v>199</v>
      </c>
      <c r="E34" s="15" t="s">
        <v>200</v>
      </c>
      <c r="F34" s="15" t="s">
        <v>201</v>
      </c>
      <c r="G34" s="11"/>
      <c r="H34" s="17" t="str">
        <f t="shared" si="0"/>
        <v>Not Assessed</v>
      </c>
      <c r="I34" s="13"/>
      <c r="J34" s="16"/>
      <c r="K34" s="13"/>
      <c r="L34" s="16"/>
      <c r="M34" s="13"/>
      <c r="N34" s="11"/>
    </row>
    <row r="35" spans="1:14" ht="45.75" customHeight="1" x14ac:dyDescent="0.35">
      <c r="A35" s="8" t="s">
        <v>202</v>
      </c>
      <c r="B35" s="9" t="s">
        <v>197</v>
      </c>
      <c r="C35" s="10" t="s">
        <v>198</v>
      </c>
      <c r="D35" s="9" t="s">
        <v>203</v>
      </c>
      <c r="E35" s="9" t="s">
        <v>204</v>
      </c>
      <c r="F35" s="9" t="s">
        <v>205</v>
      </c>
      <c r="G35" s="11"/>
      <c r="H35" s="12" t="str">
        <f t="shared" si="0"/>
        <v>Not Assessed</v>
      </c>
      <c r="I35" s="13"/>
      <c r="J35" s="10"/>
      <c r="K35" s="13"/>
      <c r="L35" s="10"/>
      <c r="M35" s="13"/>
      <c r="N35" s="11"/>
    </row>
    <row r="36" spans="1:14" ht="45.75" customHeight="1" x14ac:dyDescent="0.35">
      <c r="A36" s="14" t="s">
        <v>206</v>
      </c>
      <c r="B36" s="15" t="s">
        <v>207</v>
      </c>
      <c r="C36" s="16" t="s">
        <v>208</v>
      </c>
      <c r="D36" s="15" t="s">
        <v>209</v>
      </c>
      <c r="E36" s="15" t="s">
        <v>210</v>
      </c>
      <c r="F36" s="15" t="s">
        <v>211</v>
      </c>
      <c r="G36" s="11"/>
      <c r="H36" s="17" t="str">
        <f t="shared" si="0"/>
        <v>Not Assessed</v>
      </c>
      <c r="I36" s="13"/>
      <c r="J36" s="16"/>
      <c r="K36" s="13"/>
      <c r="L36" s="16"/>
      <c r="M36" s="13"/>
      <c r="N36" s="11"/>
    </row>
    <row r="37" spans="1:14" ht="45.75" customHeight="1" x14ac:dyDescent="0.35">
      <c r="A37" s="8" t="s">
        <v>212</v>
      </c>
      <c r="B37" s="9" t="s">
        <v>207</v>
      </c>
      <c r="C37" s="10" t="s">
        <v>213</v>
      </c>
      <c r="D37" s="9" t="s">
        <v>214</v>
      </c>
      <c r="E37" s="9" t="s">
        <v>215</v>
      </c>
      <c r="F37" s="9" t="s">
        <v>216</v>
      </c>
      <c r="G37" s="11"/>
      <c r="H37" s="12" t="str">
        <f t="shared" si="0"/>
        <v>Not Assessed</v>
      </c>
      <c r="I37" s="13"/>
      <c r="J37" s="10"/>
      <c r="K37" s="13"/>
      <c r="L37" s="10"/>
      <c r="M37" s="13"/>
      <c r="N37" s="11"/>
    </row>
    <row r="38" spans="1:14" ht="45.75" customHeight="1" x14ac:dyDescent="0.35">
      <c r="A38" s="14" t="s">
        <v>217</v>
      </c>
      <c r="B38" s="15" t="s">
        <v>218</v>
      </c>
      <c r="C38" s="16" t="s">
        <v>219</v>
      </c>
      <c r="D38" s="15" t="s">
        <v>220</v>
      </c>
      <c r="E38" s="15" t="s">
        <v>221</v>
      </c>
      <c r="F38" s="15" t="s">
        <v>222</v>
      </c>
      <c r="G38" s="11"/>
      <c r="H38" s="17" t="str">
        <f t="shared" si="0"/>
        <v>Not Assessed</v>
      </c>
      <c r="I38" s="13"/>
      <c r="J38" s="16"/>
      <c r="K38" s="13"/>
      <c r="L38" s="16"/>
      <c r="M38" s="13"/>
      <c r="N38" s="11"/>
    </row>
    <row r="39" spans="1:14" ht="45.75" customHeight="1" x14ac:dyDescent="0.35">
      <c r="A39" s="8" t="s">
        <v>223</v>
      </c>
      <c r="B39" s="9" t="s">
        <v>218</v>
      </c>
      <c r="C39" s="10" t="s">
        <v>224</v>
      </c>
      <c r="D39" s="9" t="s">
        <v>225</v>
      </c>
      <c r="E39" s="9" t="s">
        <v>226</v>
      </c>
      <c r="F39" s="9" t="s">
        <v>227</v>
      </c>
      <c r="G39" s="11"/>
      <c r="H39" s="12" t="str">
        <f t="shared" si="0"/>
        <v>Not Assessed</v>
      </c>
      <c r="I39" s="13"/>
      <c r="J39" s="10"/>
      <c r="K39" s="13"/>
      <c r="L39" s="10"/>
      <c r="M39" s="13"/>
      <c r="N39" s="11"/>
    </row>
    <row r="40" spans="1:14" ht="45.75" customHeight="1" x14ac:dyDescent="0.35">
      <c r="A40" s="14" t="s">
        <v>228</v>
      </c>
      <c r="B40" s="15" t="s">
        <v>218</v>
      </c>
      <c r="C40" s="16" t="s">
        <v>229</v>
      </c>
      <c r="D40" s="15" t="s">
        <v>230</v>
      </c>
      <c r="E40" s="15" t="s">
        <v>231</v>
      </c>
      <c r="F40" s="15" t="s">
        <v>232</v>
      </c>
      <c r="G40" s="11"/>
      <c r="H40" s="17" t="str">
        <f t="shared" si="0"/>
        <v>Not Assessed</v>
      </c>
      <c r="I40" s="13"/>
      <c r="J40" s="16"/>
      <c r="K40" s="13"/>
      <c r="L40" s="16"/>
      <c r="M40" s="13"/>
      <c r="N40" s="11"/>
    </row>
    <row r="41" spans="1:14" ht="45.75" customHeight="1" x14ac:dyDescent="0.35">
      <c r="A41" s="8" t="s">
        <v>233</v>
      </c>
      <c r="B41" s="9" t="s">
        <v>234</v>
      </c>
      <c r="C41" s="10" t="s">
        <v>235</v>
      </c>
      <c r="D41" s="9" t="s">
        <v>236</v>
      </c>
      <c r="E41" s="9" t="s">
        <v>237</v>
      </c>
      <c r="F41" s="9" t="s">
        <v>238</v>
      </c>
      <c r="G41" s="11"/>
      <c r="H41" s="12" t="str">
        <f t="shared" si="0"/>
        <v>Not Assessed</v>
      </c>
      <c r="I41" s="13"/>
      <c r="J41" s="10"/>
      <c r="K41" s="13"/>
      <c r="L41" s="10"/>
      <c r="M41" s="13"/>
      <c r="N41" s="11"/>
    </row>
    <row r="42" spans="1:14" ht="45.75" customHeight="1" x14ac:dyDescent="0.35">
      <c r="A42" s="14" t="s">
        <v>239</v>
      </c>
      <c r="B42" s="15" t="s">
        <v>234</v>
      </c>
      <c r="C42" s="16" t="s">
        <v>235</v>
      </c>
      <c r="D42" s="15" t="s">
        <v>240</v>
      </c>
      <c r="E42" s="15" t="s">
        <v>241</v>
      </c>
      <c r="F42" s="15" t="s">
        <v>242</v>
      </c>
      <c r="G42" s="11"/>
      <c r="H42" s="17" t="str">
        <f t="shared" si="0"/>
        <v>Not Assessed</v>
      </c>
      <c r="I42" s="13"/>
      <c r="J42" s="16"/>
      <c r="K42" s="13"/>
      <c r="L42" s="16"/>
      <c r="M42" s="13"/>
      <c r="N42" s="11"/>
    </row>
    <row r="43" spans="1:14" ht="45.75" customHeight="1" x14ac:dyDescent="0.35">
      <c r="A43" s="8" t="s">
        <v>243</v>
      </c>
      <c r="B43" s="9" t="s">
        <v>234</v>
      </c>
      <c r="C43" s="10" t="s">
        <v>235</v>
      </c>
      <c r="D43" s="9" t="s">
        <v>244</v>
      </c>
      <c r="E43" s="9" t="s">
        <v>245</v>
      </c>
      <c r="F43" s="9" t="s">
        <v>246</v>
      </c>
      <c r="G43" s="11"/>
      <c r="H43" s="12" t="str">
        <f t="shared" si="0"/>
        <v>Not Assessed</v>
      </c>
      <c r="I43" s="13"/>
      <c r="J43" s="10"/>
      <c r="K43" s="13"/>
      <c r="L43" s="10"/>
      <c r="M43" s="13"/>
      <c r="N43" s="11"/>
    </row>
    <row r="44" spans="1:14" ht="45.75" customHeight="1" x14ac:dyDescent="0.35">
      <c r="A44" s="14" t="s">
        <v>247</v>
      </c>
      <c r="B44" s="15" t="s">
        <v>248</v>
      </c>
      <c r="C44" s="16" t="s">
        <v>249</v>
      </c>
      <c r="D44" s="15" t="s">
        <v>250</v>
      </c>
      <c r="E44" s="15" t="s">
        <v>251</v>
      </c>
      <c r="F44" s="15" t="s">
        <v>252</v>
      </c>
      <c r="G44" s="11"/>
      <c r="H44" s="17" t="str">
        <f t="shared" si="0"/>
        <v>Not Assessed</v>
      </c>
      <c r="I44" s="13"/>
      <c r="J44" s="16"/>
      <c r="K44" s="13"/>
      <c r="L44" s="16"/>
      <c r="M44" s="13"/>
      <c r="N44" s="11"/>
    </row>
    <row r="45" spans="1:14" ht="45.75" customHeight="1" x14ac:dyDescent="0.35">
      <c r="A45" s="8" t="s">
        <v>253</v>
      </c>
      <c r="B45" s="9" t="s">
        <v>248</v>
      </c>
      <c r="C45" s="10" t="s">
        <v>254</v>
      </c>
      <c r="D45" s="9" t="s">
        <v>255</v>
      </c>
      <c r="E45" s="9" t="s">
        <v>256</v>
      </c>
      <c r="F45" s="9" t="s">
        <v>257</v>
      </c>
      <c r="G45" s="11"/>
      <c r="H45" s="12" t="str">
        <f t="shared" si="0"/>
        <v>Not Assessed</v>
      </c>
      <c r="I45" s="13"/>
      <c r="J45" s="10"/>
      <c r="K45" s="13"/>
      <c r="L45" s="10"/>
      <c r="M45" s="13"/>
      <c r="N45" s="11"/>
    </row>
    <row r="46" spans="1:14" ht="45.75" customHeight="1" x14ac:dyDescent="0.35">
      <c r="A46" s="14" t="s">
        <v>258</v>
      </c>
      <c r="B46" s="15" t="s">
        <v>248</v>
      </c>
      <c r="C46" s="16" t="s">
        <v>259</v>
      </c>
      <c r="D46" s="15" t="s">
        <v>260</v>
      </c>
      <c r="E46" s="15" t="s">
        <v>261</v>
      </c>
      <c r="F46" s="15" t="s">
        <v>262</v>
      </c>
      <c r="G46" s="11"/>
      <c r="H46" s="17" t="str">
        <f t="shared" si="0"/>
        <v>Not Assessed</v>
      </c>
      <c r="I46" s="13"/>
      <c r="J46" s="16"/>
      <c r="K46" s="13"/>
      <c r="L46" s="16"/>
      <c r="M46" s="13"/>
      <c r="N46" s="11"/>
    </row>
    <row r="47" spans="1:14" ht="45.75" customHeight="1" x14ac:dyDescent="0.35">
      <c r="A47" s="8" t="s">
        <v>263</v>
      </c>
      <c r="B47" s="9" t="s">
        <v>248</v>
      </c>
      <c r="C47" s="10" t="s">
        <v>264</v>
      </c>
      <c r="D47" s="9" t="s">
        <v>265</v>
      </c>
      <c r="E47" s="9" t="s">
        <v>266</v>
      </c>
      <c r="F47" s="9" t="s">
        <v>267</v>
      </c>
      <c r="G47" s="11"/>
      <c r="H47" s="12" t="str">
        <f t="shared" si="0"/>
        <v>Not Assessed</v>
      </c>
      <c r="I47" s="13"/>
      <c r="J47" s="10"/>
      <c r="K47" s="13"/>
      <c r="L47" s="10"/>
      <c r="M47" s="13"/>
      <c r="N47" s="11"/>
    </row>
    <row r="48" spans="1:14" ht="45.75" customHeight="1" x14ac:dyDescent="0.35">
      <c r="A48" s="14" t="s">
        <v>268</v>
      </c>
      <c r="B48" s="15" t="s">
        <v>269</v>
      </c>
      <c r="C48" s="16" t="s">
        <v>270</v>
      </c>
      <c r="D48" s="15" t="s">
        <v>271</v>
      </c>
      <c r="E48" s="15" t="s">
        <v>272</v>
      </c>
      <c r="F48" s="15" t="s">
        <v>273</v>
      </c>
      <c r="G48" s="11"/>
      <c r="H48" s="17" t="str">
        <f t="shared" si="0"/>
        <v>Not Assessed</v>
      </c>
      <c r="I48" s="13"/>
      <c r="J48" s="16"/>
      <c r="K48" s="13"/>
      <c r="L48" s="16"/>
      <c r="M48" s="13"/>
      <c r="N48" s="11"/>
    </row>
    <row r="49" spans="1:14" ht="45.75" customHeight="1" x14ac:dyDescent="0.35">
      <c r="A49" s="8" t="s">
        <v>274</v>
      </c>
      <c r="B49" s="9" t="s">
        <v>269</v>
      </c>
      <c r="C49" s="10" t="s">
        <v>275</v>
      </c>
      <c r="D49" s="9" t="s">
        <v>276</v>
      </c>
      <c r="E49" s="9" t="s">
        <v>277</v>
      </c>
      <c r="F49" s="9" t="s">
        <v>278</v>
      </c>
      <c r="G49" s="11"/>
      <c r="H49" s="12" t="str">
        <f t="shared" si="0"/>
        <v>Not Assessed</v>
      </c>
      <c r="I49" s="13"/>
      <c r="J49" s="10"/>
      <c r="K49" s="13"/>
      <c r="L49" s="10"/>
      <c r="M49" s="13"/>
      <c r="N49" s="11"/>
    </row>
  </sheetData>
  <mergeCells count="1">
    <mergeCell ref="A1:N1"/>
  </mergeCells>
  <conditionalFormatting sqref="H3:H49">
    <cfRule type="cellIs" dxfId="7" priority="2" operator="equal">
      <formula>"Compliant"</formula>
    </cfRule>
    <cfRule type="cellIs" dxfId="6" priority="3" operator="equal">
      <formula>"Partial"</formula>
    </cfRule>
    <cfRule type="cellIs" dxfId="5" priority="4" operator="equal">
      <formula>"Non-Compliant"</formula>
    </cfRule>
  </conditionalFormatting>
  <conditionalFormatting sqref="J3:J49">
    <cfRule type="cellIs" dxfId="4" priority="5" operator="equal">
      <formula>"High"</formula>
    </cfRule>
    <cfRule type="cellIs" dxfId="3" priority="6" operator="equal">
      <formula>"Medium"</formula>
    </cfRule>
  </conditionalFormatting>
  <dataValidations count="3">
    <dataValidation type="whole" allowBlank="1" error="Enter a maturity score between 0 and 5." prompt="0=Absent ... 5=Optimised" sqref="G3:G49" xr:uid="{00000000-0002-0000-0200-000000000000}">
      <formula1>0</formula1>
      <formula2>5</formula2>
    </dataValidation>
    <dataValidation type="list" allowBlank="1" sqref="J3:J49" xr:uid="{00000000-0002-0000-0200-000001000000}">
      <formula1>"High,Medium,Low"</formula1>
      <formula2>0</formula2>
    </dataValidation>
    <dataValidation type="list" allowBlank="1" sqref="L3:L49" xr:uid="{00000000-0002-0000-0200-000002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"/>
  <sheetViews>
    <sheetView showGridLines="0" tabSelected="1" topLeftCell="A7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14" customWidth="1"/>
    <col min="4" max="4" width="16" customWidth="1"/>
    <col min="5" max="5" width="12" customWidth="1"/>
    <col min="6" max="6" width="14" customWidth="1"/>
  </cols>
  <sheetData>
    <row r="1" spans="2:6" ht="25.5" customHeight="1" x14ac:dyDescent="0.35">
      <c r="B1" s="2" t="s">
        <v>279</v>
      </c>
      <c r="C1" s="2"/>
      <c r="D1" s="2"/>
      <c r="E1" s="2"/>
      <c r="F1" s="2"/>
    </row>
    <row r="3" spans="2:6" x14ac:dyDescent="0.35">
      <c r="B3" s="18" t="s">
        <v>280</v>
      </c>
      <c r="C3" s="19" t="str">
        <f>IFERROR(ROUND(AVERAGE(Assessment!G3:G49),1),"-")</f>
        <v>-</v>
      </c>
    </row>
    <row r="4" spans="2:6" x14ac:dyDescent="0.35">
      <c r="B4" s="18" t="s">
        <v>281</v>
      </c>
      <c r="C4" s="19" t="str">
        <f>COUNT(Assessment!G3:G49)&amp;" / "&amp;47</f>
        <v>0 / 47</v>
      </c>
    </row>
    <row r="5" spans="2:6" x14ac:dyDescent="0.35">
      <c r="B5" s="18" t="s">
        <v>282</v>
      </c>
      <c r="C5" s="19">
        <f>COUNTIF(Assessment!H3:H49,"Compliant")</f>
        <v>0</v>
      </c>
    </row>
    <row r="6" spans="2:6" x14ac:dyDescent="0.35">
      <c r="B6" s="18" t="s">
        <v>283</v>
      </c>
      <c r="C6" s="20">
        <f>IFERROR(COUNTIF(Assessment!H3:H49,"Compliant")/47,"-")</f>
        <v>0</v>
      </c>
    </row>
    <row r="8" spans="2:6" ht="27.75" customHeight="1" x14ac:dyDescent="0.35">
      <c r="B8" s="7" t="s">
        <v>22</v>
      </c>
      <c r="C8" s="7" t="s">
        <v>284</v>
      </c>
      <c r="D8" s="7" t="s">
        <v>285</v>
      </c>
      <c r="E8" s="7" t="s">
        <v>286</v>
      </c>
      <c r="F8" s="7" t="s">
        <v>287</v>
      </c>
    </row>
    <row r="9" spans="2:6" x14ac:dyDescent="0.35">
      <c r="B9" s="21" t="s">
        <v>36</v>
      </c>
      <c r="C9" s="22" t="str">
        <f>IFERROR(ROUND(AVERAGEIF(Assessment!B3:B49,B9,Assessment!G3:G49),1),"-")</f>
        <v>-</v>
      </c>
      <c r="D9" s="23">
        <f>COUNTIFS(Assessment!B3:B49,B9,Assessment!H3:H49,"Compliant")</f>
        <v>0</v>
      </c>
      <c r="E9" s="23">
        <f>COUNTIFS(Assessment!B3:B49,B9,Assessment!H3:H49,"Partial")+COUNTIFS(Assessment!B3:B49,B9,Assessment!H3:H49,"Non-Compliant")</f>
        <v>0</v>
      </c>
      <c r="F9" s="24">
        <f>IFERROR(COUNTIFS(Assessment!B3:B49,B9,Assessment!H3:H49,"Compliant")/COUNTIF(Assessment!B3:B49,B9),"-")</f>
        <v>0</v>
      </c>
    </row>
    <row r="10" spans="2:6" x14ac:dyDescent="0.35">
      <c r="B10" s="25" t="s">
        <v>72</v>
      </c>
      <c r="C10" s="26" t="str">
        <f>IFERROR(ROUND(AVERAGEIF(Assessment!B3:B49,B10,Assessment!G3:G49),1),"-")</f>
        <v>-</v>
      </c>
      <c r="D10" s="27">
        <f>COUNTIFS(Assessment!B3:B49,B10,Assessment!H3:H49,"Compliant")</f>
        <v>0</v>
      </c>
      <c r="E10" s="27">
        <f>COUNTIFS(Assessment!B3:B49,B10,Assessment!H3:H49,"Partial")+COUNTIFS(Assessment!B3:B49,B10,Assessment!H3:H49,"Non-Compliant")</f>
        <v>0</v>
      </c>
      <c r="F10" s="28">
        <f>IFERROR(COUNTIFS(Assessment!B3:B49,B10,Assessment!H3:H49,"Compliant")/COUNTIF(Assessment!B3:B49,B10),"-")</f>
        <v>0</v>
      </c>
    </row>
    <row r="11" spans="2:6" x14ac:dyDescent="0.35">
      <c r="B11" s="21" t="s">
        <v>97</v>
      </c>
      <c r="C11" s="22" t="str">
        <f>IFERROR(ROUND(AVERAGEIF(Assessment!B3:B49,B11,Assessment!G3:G49),1),"-")</f>
        <v>-</v>
      </c>
      <c r="D11" s="23">
        <f>COUNTIFS(Assessment!B3:B49,B11,Assessment!H3:H49,"Compliant")</f>
        <v>0</v>
      </c>
      <c r="E11" s="23">
        <f>COUNTIFS(Assessment!B3:B49,B11,Assessment!H3:H49,"Partial")+COUNTIFS(Assessment!B3:B49,B11,Assessment!H3:H49,"Non-Compliant")</f>
        <v>0</v>
      </c>
      <c r="F11" s="24">
        <f>IFERROR(COUNTIFS(Assessment!B3:B49,B11,Assessment!H3:H49,"Compliant")/COUNTIF(Assessment!B3:B49,B11),"-")</f>
        <v>0</v>
      </c>
    </row>
    <row r="12" spans="2:6" x14ac:dyDescent="0.35">
      <c r="B12" s="25" t="s">
        <v>123</v>
      </c>
      <c r="C12" s="26" t="str">
        <f>IFERROR(ROUND(AVERAGEIF(Assessment!B3:B49,B12,Assessment!G3:G49),1),"-")</f>
        <v>-</v>
      </c>
      <c r="D12" s="27">
        <f>COUNTIFS(Assessment!B3:B49,B12,Assessment!H3:H49,"Compliant")</f>
        <v>0</v>
      </c>
      <c r="E12" s="27">
        <f>COUNTIFS(Assessment!B3:B49,B12,Assessment!H3:H49,"Partial")+COUNTIFS(Assessment!B3:B49,B12,Assessment!H3:H49,"Non-Compliant")</f>
        <v>0</v>
      </c>
      <c r="F12" s="28">
        <f>IFERROR(COUNTIFS(Assessment!B3:B49,B12,Assessment!H3:H49,"Compliant")/COUNTIF(Assessment!B3:B49,B12),"-")</f>
        <v>0</v>
      </c>
    </row>
    <row r="13" spans="2:6" x14ac:dyDescent="0.35">
      <c r="B13" s="21" t="s">
        <v>134</v>
      </c>
      <c r="C13" s="22" t="str">
        <f>IFERROR(ROUND(AVERAGEIF(Assessment!B3:B49,B13,Assessment!G3:G49),1),"-")</f>
        <v>-</v>
      </c>
      <c r="D13" s="23">
        <f>COUNTIFS(Assessment!B3:B49,B13,Assessment!H3:H49,"Compliant")</f>
        <v>0</v>
      </c>
      <c r="E13" s="23">
        <f>COUNTIFS(Assessment!B3:B49,B13,Assessment!H3:H49,"Partial")+COUNTIFS(Assessment!B3:B49,B13,Assessment!H3:H49,"Non-Compliant")</f>
        <v>0</v>
      </c>
      <c r="F13" s="24">
        <f>IFERROR(COUNTIFS(Assessment!B3:B49,B13,Assessment!H3:H49,"Compliant")/COUNTIF(Assessment!B3:B49,B13),"-")</f>
        <v>0</v>
      </c>
    </row>
    <row r="14" spans="2:6" x14ac:dyDescent="0.35">
      <c r="B14" s="25" t="s">
        <v>170</v>
      </c>
      <c r="C14" s="26" t="str">
        <f>IFERROR(ROUND(AVERAGEIF(Assessment!B3:B49,B14,Assessment!G3:G49),1),"-")</f>
        <v>-</v>
      </c>
      <c r="D14" s="27">
        <f>COUNTIFS(Assessment!B3:B49,B14,Assessment!H3:H49,"Compliant")</f>
        <v>0</v>
      </c>
      <c r="E14" s="27">
        <f>COUNTIFS(Assessment!B3:B49,B14,Assessment!H3:H49,"Partial")+COUNTIFS(Assessment!B3:B49,B14,Assessment!H3:H49,"Non-Compliant")</f>
        <v>0</v>
      </c>
      <c r="F14" s="28">
        <f>IFERROR(COUNTIFS(Assessment!B3:B49,B14,Assessment!H3:H49,"Compliant")/COUNTIF(Assessment!B3:B49,B14),"-")</f>
        <v>0</v>
      </c>
    </row>
    <row r="15" spans="2:6" x14ac:dyDescent="0.35">
      <c r="B15" s="21" t="s">
        <v>181</v>
      </c>
      <c r="C15" s="22" t="str">
        <f>IFERROR(ROUND(AVERAGEIF(Assessment!B3:B49,B15,Assessment!G3:G49),1),"-")</f>
        <v>-</v>
      </c>
      <c r="D15" s="23">
        <f>COUNTIFS(Assessment!B3:B49,B15,Assessment!H3:H49,"Compliant")</f>
        <v>0</v>
      </c>
      <c r="E15" s="23">
        <f>COUNTIFS(Assessment!B3:B49,B15,Assessment!H3:H49,"Partial")+COUNTIFS(Assessment!B3:B49,B15,Assessment!H3:H49,"Non-Compliant")</f>
        <v>0</v>
      </c>
      <c r="F15" s="24">
        <f>IFERROR(COUNTIFS(Assessment!B3:B49,B15,Assessment!H3:H49,"Compliant")/COUNTIF(Assessment!B3:B49,B15),"-")</f>
        <v>0</v>
      </c>
    </row>
    <row r="16" spans="2:6" x14ac:dyDescent="0.35">
      <c r="B16" s="25" t="s">
        <v>197</v>
      </c>
      <c r="C16" s="26" t="str">
        <f>IFERROR(ROUND(AVERAGEIF(Assessment!B3:B49,B16,Assessment!G3:G49),1),"-")</f>
        <v>-</v>
      </c>
      <c r="D16" s="27">
        <f>COUNTIFS(Assessment!B3:B49,B16,Assessment!H3:H49,"Compliant")</f>
        <v>0</v>
      </c>
      <c r="E16" s="27">
        <f>COUNTIFS(Assessment!B3:B49,B16,Assessment!H3:H49,"Partial")+COUNTIFS(Assessment!B3:B49,B16,Assessment!H3:H49,"Non-Compliant")</f>
        <v>0</v>
      </c>
      <c r="F16" s="28">
        <f>IFERROR(COUNTIFS(Assessment!B3:B49,B16,Assessment!H3:H49,"Compliant")/COUNTIF(Assessment!B3:B49,B16),"-")</f>
        <v>0</v>
      </c>
    </row>
    <row r="17" spans="2:6" x14ac:dyDescent="0.35">
      <c r="B17" s="21" t="s">
        <v>207</v>
      </c>
      <c r="C17" s="22" t="str">
        <f>IFERROR(ROUND(AVERAGEIF(Assessment!B3:B49,B17,Assessment!G3:G49),1),"-")</f>
        <v>-</v>
      </c>
      <c r="D17" s="23">
        <f>COUNTIFS(Assessment!B3:B49,B17,Assessment!H3:H49,"Compliant")</f>
        <v>0</v>
      </c>
      <c r="E17" s="23">
        <f>COUNTIFS(Assessment!B3:B49,B17,Assessment!H3:H49,"Partial")+COUNTIFS(Assessment!B3:B49,B17,Assessment!H3:H49,"Non-Compliant")</f>
        <v>0</v>
      </c>
      <c r="F17" s="24">
        <f>IFERROR(COUNTIFS(Assessment!B3:B49,B17,Assessment!H3:H49,"Compliant")/COUNTIF(Assessment!B3:B49,B17),"-")</f>
        <v>0</v>
      </c>
    </row>
    <row r="18" spans="2:6" x14ac:dyDescent="0.35">
      <c r="B18" s="25" t="s">
        <v>218</v>
      </c>
      <c r="C18" s="26" t="str">
        <f>IFERROR(ROUND(AVERAGEIF(Assessment!B3:B49,B18,Assessment!G3:G49),1),"-")</f>
        <v>-</v>
      </c>
      <c r="D18" s="27">
        <f>COUNTIFS(Assessment!B3:B49,B18,Assessment!H3:H49,"Compliant")</f>
        <v>0</v>
      </c>
      <c r="E18" s="27">
        <f>COUNTIFS(Assessment!B3:B49,B18,Assessment!H3:H49,"Partial")+COUNTIFS(Assessment!B3:B49,B18,Assessment!H3:H49,"Non-Compliant")</f>
        <v>0</v>
      </c>
      <c r="F18" s="28">
        <f>IFERROR(COUNTIFS(Assessment!B3:B49,B18,Assessment!H3:H49,"Compliant")/COUNTIF(Assessment!B3:B49,B18),"-")</f>
        <v>0</v>
      </c>
    </row>
    <row r="19" spans="2:6" x14ac:dyDescent="0.35">
      <c r="B19" s="21" t="s">
        <v>234</v>
      </c>
      <c r="C19" s="22" t="str">
        <f>IFERROR(ROUND(AVERAGEIF(Assessment!B3:B49,B19,Assessment!G3:G49),1),"-")</f>
        <v>-</v>
      </c>
      <c r="D19" s="23">
        <f>COUNTIFS(Assessment!B3:B49,B19,Assessment!H3:H49,"Compliant")</f>
        <v>0</v>
      </c>
      <c r="E19" s="23">
        <f>COUNTIFS(Assessment!B3:B49,B19,Assessment!H3:H49,"Partial")+COUNTIFS(Assessment!B3:B49,B19,Assessment!H3:H49,"Non-Compliant")</f>
        <v>0</v>
      </c>
      <c r="F19" s="24">
        <f>IFERROR(COUNTIFS(Assessment!B3:B49,B19,Assessment!H3:H49,"Compliant")/COUNTIF(Assessment!B3:B49,B19),"-")</f>
        <v>0</v>
      </c>
    </row>
    <row r="20" spans="2:6" x14ac:dyDescent="0.35">
      <c r="B20" s="25" t="s">
        <v>248</v>
      </c>
      <c r="C20" s="26" t="str">
        <f>IFERROR(ROUND(AVERAGEIF(Assessment!B3:B49,B20,Assessment!G3:G49),1),"-")</f>
        <v>-</v>
      </c>
      <c r="D20" s="27">
        <f>COUNTIFS(Assessment!B3:B49,B20,Assessment!H3:H49,"Compliant")</f>
        <v>0</v>
      </c>
      <c r="E20" s="27">
        <f>COUNTIFS(Assessment!B3:B49,B20,Assessment!H3:H49,"Partial")+COUNTIFS(Assessment!B3:B49,B20,Assessment!H3:H49,"Non-Compliant")</f>
        <v>0</v>
      </c>
      <c r="F20" s="28">
        <f>IFERROR(COUNTIFS(Assessment!B3:B49,B20,Assessment!H3:H49,"Compliant")/COUNTIF(Assessment!B3:B49,B20),"-")</f>
        <v>0</v>
      </c>
    </row>
    <row r="21" spans="2:6" x14ac:dyDescent="0.35">
      <c r="B21" s="21" t="s">
        <v>269</v>
      </c>
      <c r="C21" s="22" t="str">
        <f>IFERROR(ROUND(AVERAGEIF(Assessment!B3:B49,B21,Assessment!G3:G49),1),"-")</f>
        <v>-</v>
      </c>
      <c r="D21" s="23">
        <f>COUNTIFS(Assessment!B3:B49,B21,Assessment!H3:H49,"Compliant")</f>
        <v>0</v>
      </c>
      <c r="E21" s="23">
        <f>COUNTIFS(Assessment!B3:B49,B21,Assessment!H3:H49,"Partial")+COUNTIFS(Assessment!B3:B49,B21,Assessment!H3:H49,"Non-Compliant")</f>
        <v>0</v>
      </c>
      <c r="F21" s="24">
        <f>IFERROR(COUNTIFS(Assessment!B3:B49,B21,Assessment!H3:H49,"Compliant")/COUNTIF(Assessment!B3:B49,B21),"-")</f>
        <v>0</v>
      </c>
    </row>
  </sheetData>
  <mergeCells count="1">
    <mergeCell ref="B1:F1"/>
  </mergeCells>
  <conditionalFormatting sqref="C9:C21">
    <cfRule type="cellIs" dxfId="2" priority="2" operator="greaterThanOrEqual">
      <formula>3</formula>
    </cfRule>
    <cfRule type="cellIs" dxfId="1" priority="3" operator="between">
      <formula>1</formula>
      <formula>2.9</formula>
    </cfRule>
  </conditionalFormatting>
  <conditionalFormatting sqref="E9:E21">
    <cfRule type="cellIs" dxfId="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zoomScaleNormal="100" workbookViewId="0">
      <selection sqref="A1:J1"/>
    </sheetView>
  </sheetViews>
  <sheetFormatPr defaultColWidth="8.6328125" defaultRowHeight="14.5" x14ac:dyDescent="0.35"/>
  <cols>
    <col min="1" max="1" width="11" customWidth="1"/>
    <col min="2" max="2" width="24" customWidth="1"/>
    <col min="3" max="3" width="12" customWidth="1"/>
    <col min="4" max="4" width="40" customWidth="1"/>
    <col min="5" max="5" width="42" customWidth="1"/>
    <col min="6" max="7" width="10" customWidth="1"/>
    <col min="8" max="8" width="16" customWidth="1"/>
    <col min="9" max="9" width="13" customWidth="1"/>
    <col min="10" max="10" width="14" customWidth="1"/>
  </cols>
  <sheetData>
    <row r="1" spans="1:10" ht="25.5" customHeight="1" x14ac:dyDescent="0.35">
      <c r="A1" s="2" t="s">
        <v>288</v>
      </c>
      <c r="B1" s="2"/>
      <c r="C1" s="2"/>
      <c r="D1" s="2"/>
      <c r="E1" s="2"/>
      <c r="F1" s="2"/>
      <c r="G1" s="2"/>
      <c r="H1" s="2"/>
      <c r="I1" s="2"/>
      <c r="J1" s="2"/>
    </row>
    <row r="2" spans="1:10" ht="27.75" customHeight="1" x14ac:dyDescent="0.35">
      <c r="A2" s="7" t="s">
        <v>21</v>
      </c>
      <c r="B2" s="7" t="s">
        <v>22</v>
      </c>
      <c r="C2" s="7" t="s">
        <v>23</v>
      </c>
      <c r="D2" s="7" t="s">
        <v>289</v>
      </c>
      <c r="E2" s="7" t="s">
        <v>31</v>
      </c>
      <c r="F2" s="7" t="s">
        <v>290</v>
      </c>
      <c r="G2" s="7" t="s">
        <v>32</v>
      </c>
      <c r="H2" s="7" t="s">
        <v>33</v>
      </c>
      <c r="I2" s="7" t="s">
        <v>34</v>
      </c>
      <c r="J2" s="7" t="s">
        <v>291</v>
      </c>
    </row>
    <row r="3" spans="1:10" ht="25.5" customHeight="1" x14ac:dyDescent="0.35">
      <c r="A3" s="1" t="s">
        <v>292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</row>
  </sheetData>
  <mergeCells count="2">
    <mergeCell ref="A1:J1"/>
    <mergeCell ref="A3:J3"/>
  </mergeCells>
  <dataValidations count="3">
    <dataValidation type="list" allowBlank="1" sqref="J4:J200" xr:uid="{00000000-0002-0000-0400-000000000000}">
      <formula1>"Open,In Progress,Blocked,Closed"</formula1>
      <formula2>0</formula2>
    </dataValidation>
    <dataValidation type="list" allowBlank="1" sqref="F4:F200" xr:uid="{00000000-0002-0000-0400-000001000000}">
      <formula1>"High,Medium,Low"</formula1>
      <formula2>0</formula2>
    </dataValidation>
    <dataValidation type="list" allowBlank="1" sqref="G4:G200" xr:uid="{00000000-0002-0000-0400-000002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Assessment</vt:lpstr>
      <vt:lpstr>Dashboard</vt:lpstr>
      <vt:lpstr>Remediation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hassan shahid</cp:lastModifiedBy>
  <cp:revision>0</cp:revision>
  <dcterms:created xsi:type="dcterms:W3CDTF">2026-06-17T05:44:55Z</dcterms:created>
  <dcterms:modified xsi:type="dcterms:W3CDTF">2026-06-18T14:56:34Z</dcterms:modified>
  <dc:language>en-US</dc:language>
</cp:coreProperties>
</file>